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iority list" sheetId="1" state="visible" r:id="rId3"/>
    <sheet name="Differentiators" sheetId="2" state="visible" r:id="rId4"/>
    <sheet name="Matrix" sheetId="3" state="visible" r:id="rId5"/>
    <sheet name="Summary" sheetId="4" state="visible" r:id="rId6"/>
    <sheet name="Prices and sources" sheetId="5" state="visible" r:id="rId7"/>
  </sheets>
  <definedNames>
    <definedName function="false" hidden="true" localSheetId="2" name="_xlnm._FilterDatabase" vbProcedure="false">Matrix!$A$4:$M$133</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xdr="http://schemas.openxmlformats.org/drawingml/2006/spreadsheetDrawing">
  <authors>
    <author>Unknown Author</author>
  </authors>
  <commentList>
    <comment ref="F6" authorId="0">
      <text>
        <r>
          <rPr>
            <sz val="10"/>
            <rFont val="Arial"/>
            <family val="2"/>
          </rPr>
          <t xml:space="preserve">Mach3 is a machine controller with basic LazyCam wizards, not a design and CAM program. Cells show what the program itself does.</t>
        </r>
      </text>
    </comment>
    <comment ref="K6" authorId="0">
      <text>
        <r>
          <rPr>
            <sz val="10"/>
            <rFont val="Arial"/>
            <family val="2"/>
          </rPr>
          <t xml:space="preserve">Estimate only: Mastercam publishes no price. Third-party range is $6,000-$15,000 perpetual plus maintenance.</t>
        </r>
      </text>
    </comment>
  </commentList>
</comments>
</file>

<file path=xl/sharedStrings.xml><?xml version="1.0" encoding="utf-8"?>
<sst xmlns="http://schemas.openxmlformats.org/spreadsheetml/2006/main" count="1795" uniqueCount="344">
  <si>
    <t xml:space="preserve">LibreCarve priority list: features rivals have that LibreCarve lacks</t>
  </si>
  <si>
    <t xml:space="preserve">Rule: items 1-3 gate the alpha. After that, order by how many of the 8 rival products have the feature (Yes = 1, Partial = 0.5), then by plan phase. Blue cells are for you to edit. Source of status: the Matrix sheet.</t>
  </si>
  <si>
    <t xml:space="preserve">#</t>
  </si>
  <si>
    <t xml:space="preserve">Item</t>
  </si>
  <si>
    <t xml:space="preserve">LibreCarve now</t>
  </si>
  <si>
    <t xml:space="preserve">Rivals with it (of 8)</t>
  </si>
  <si>
    <t xml:space="preserve">Plan phase</t>
  </si>
  <si>
    <t xml:space="preserve">Work status</t>
  </si>
  <si>
    <t xml:space="preserve">Notes</t>
  </si>
  <si>
    <t xml:space="preserve">Real cut on the Onefinity Woodworker in MDF; confirm the T1 and M0 prompts on the controller</t>
  </si>
  <si>
    <t xml:space="preserve">Alpha gate</t>
  </si>
  <si>
    <t xml:space="preserve">-</t>
  </si>
  <si>
    <t xml:space="preserve">Done</t>
  </si>
  <si>
    <t xml:space="preserve">Real cut done 2026-10-16 on the Onefinity. The bit-change (T1/M0) height was too low; it is now a setting (variable), so the condition is cleared.</t>
  </si>
  <si>
    <t xml:space="preserve">Find out whether the 48 Verify violations in the demo job (of 360,957 points) are real gouges</t>
  </si>
  <si>
    <t xml:space="preserve">The violations were real gouges, fixed by #57; the demo job now verifies with 0 violations and has a regression test (PR #111).</t>
  </si>
  <si>
    <t xml:space="preserve">An installable build and a way for testers to report problems</t>
  </si>
  <si>
    <t xml:space="preserve">PR #108 merged 2026-10-16: Linux release workflow, installer, issue forms, INSTALL.md. Fully done after the first tagged release (v0.1.2) builds.</t>
  </si>
  <si>
    <t xml:space="preserve">92</t>
  </si>
  <si>
    <t xml:space="preserve">Relief jobs must look like the carve: the canvas and the SVG, PNG and PDF exports show the shaded relief (the simulated result), not a mess of scan lines</t>
  </si>
  <si>
    <t xml:space="preserve">Usability</t>
  </si>
  <si>
    <t xml:space="preserve">Done. Merged in PR #186 (2026-10-22): the canvas and the SVG, PNG and PDF exports show the shaded relief; scan lines are hidden unless Show path is ticked. Reviewed: canvas and PNG export look like the carve. Stale help lines corrected; help page now explains the three stages of the picture (PR #189).</t>
  </si>
  <si>
    <t xml:space="preserve">93</t>
  </si>
  <si>
    <t xml:space="preserve">Relief toolpaths must pass Verify: the finish and rough passes of a picture relief fail by up to 0.0016 inch, so no G-code can be posted</t>
  </si>
  <si>
    <t xml:space="preserve">Safety</t>
  </si>
  <si>
    <t xml:space="preserve">Done. Merged in PR #185 (2026-10-22). Cause: the generated path used cell heights at sampled points while the checker read the surface between them. Fixed by clearing the cell heights between sampled points; the checker was not loosened. Checked on the owner's machine 2026-10-22: the Desert job (rough + 60 degree V-bit finish) verifies with 1,478,216 points checked and 0 violations.</t>
  </si>
  <si>
    <t xml:space="preserve">94</t>
  </si>
  <si>
    <t xml:space="preserve">The canvas render of a relief must look like the carve (shaded, like the Simulation top view), live, with scan lines hidden unless chosen</t>
  </si>
  <si>
    <t xml:space="preserve">Done. Merged with item 92 in PR #186. Pass met: on the Desert job the canvas reads as the carved picture, and the owner confirmed it looks right (2026-10-22). The picture changes as the job grows (height map, then rough simulation, then finish simulation); documented in PR #189.</t>
  </si>
  <si>
    <t xml:space="preserve">95</t>
  </si>
  <si>
    <t xml:space="preserve">Automatic depth mapping and one-step photo carving: auto tone, trim, depth fit to the stock, a Photo to relief recipe (rough + finish + verify + simulate), then AI depth from an ordinary photo (local ONNX model, Depth Anything V2 Small)</t>
  </si>
  <si>
    <t xml:space="preserve">Partial</t>
  </si>
  <si>
    <t xml:space="preserve">In progress</t>
  </si>
  <si>
    <t xml:space="preserve">Owner request 2026-10-21 after hand-building the Desert carve. Stage A merged in PR #187 (2026-10-22): tone "auto", border trim, depth "fit", job.photo recipe and the Photo to Relief form; it never posts. Now verifies cleanly since PR #185. Stage B (AI depth from an ordinary photo) is NOT started: local depth model via ort (MIT/Apache), model not committed, explicit download, Depth Anything V2 Small only (Apache-2.0; Base and Large are non-commercial). Corner watermarks still need an explicit crop (not automatic). Stays In progress until Stage B.</t>
  </si>
  <si>
    <t xml:space="preserve">Show the material in the design window, with the zero point marked, so a design can be placed on it</t>
  </si>
  <si>
    <t xml:space="preserve">Not started</t>
  </si>
  <si>
    <t xml:space="preserve">PR #174 merged 2026-10-19: stock rectangle and zero-point marker drawn in the design window. </t>
  </si>
  <si>
    <t xml:space="preserve">Job setup first: material size, thickness and the zero point (a material corner, the centre, or the spoilboard)</t>
  </si>
  <si>
    <t xml:space="preserve">PR #174 merged 2026-10-19: Material Setup entry, spoilboard zero, palette buttons disabled with no material. </t>
  </si>
  <si>
    <t xml:space="preserve">Import a complex drawing as one grouped object, so it resizes as one; ungroup to edit</t>
  </si>
  <si>
    <t xml:space="preserve">PR #172 merged 2026-10-19: grouped import on by default (group:false turns it off); resize as one, Ungroup to edit; locked groups and hostile input guarded. </t>
  </si>
  <si>
    <t xml:space="preserve">3D simulation view: zoom with the mouse wheel (and pan)</t>
  </si>
  <si>
    <t xml:space="preserve">PR #173 merged 2026-10-19: wheel and pinch zoom, middle/right/Shift drag pan in the 3D simulation view. </t>
  </si>
  <si>
    <t xml:space="preserve">Not set</t>
  </si>
  <si>
    <t xml:space="preserve">Machine Setup window, profiles, limit checks and Onefinity models are built. Homing, soft limits, steps per mm and probe calibration are out of scope on purpose (they stay on the machine's controller). PR #132 merged 2026-10-16 after an Opus review and a rebase over multi-sheet: six-step Machine Setup Wizard (Toolpaths menu, Machine Setup window, first-run prompt) and cam.machine.wizard for agents; saves through cam.machine; profiles gain safe_z and bit_change_z. Opus-reviewed. Left: translations, default the first step to the job machine when it came from an unsaved preset.</t>
  </si>
  <si>
    <t xml:space="preserve">1</t>
  </si>
  <si>
    <t xml:space="preserve">PR #109 merged 2026-10-16: data-driven post library (onefinity, grbl, grbl-manual, linuxcnc, mach, marlin, generic), unsafe definitions refused, Opus-reviewed. Not yet run on a real controller other than the Onefinity.</t>
  </si>
  <si>
    <t xml:space="preserve">PR #126 merged 2026-10-16: z_level roughing, offset finishing, independent gouge checker, rough default-pass bug fixed, finish stepover reported correctly. Still missing: multi-tool rest finishing, depth-first roughing, projecting 2D toolpaths onto the surface.</t>
  </si>
  <si>
    <t xml:space="preserve">PR #127 merged 2026-10-16: node editing mode, Bezier tool, node.* commands, new librecarve-nodes crate, Opus-reviewed. Left: bend a span by dragging, join open ends, translations.</t>
  </si>
  <si>
    <t xml:space="preserve">Imports as a height map and embeds in the stock; an Import 3D Model window is in review</t>
  </si>
  <si>
    <t xml:space="preserve">PR #124 merged 2026-10-16: raster clearing, wall finish pass, fewer retracts (all off by default), Opus-reviewed. Left: helical entry, a cap on large finish stock.</t>
  </si>
  <si>
    <t xml:space="preserve">Paused, work in a worktree, no PR yet.</t>
  </si>
  <si>
    <t xml:space="preserve">PR #125 merged 2026-10-16: several sheets per job (cam.setup.*), per-sheet verify, simulate and G-code with a safe sheet change, rebased over the post library and Opus-reviewed. Left: assign shapes to sheets automatically, nesting, copy a sheet with its toolpaths.</t>
  </si>
  <si>
    <t xml:space="preserve">2</t>
  </si>
  <si>
    <t xml:space="preserve">Merged (PR 151) after Opus review, fix: ring countersink move cap. Library now 47 tools. Open: climb direction convention may be reversed in all strategies (needs decision); not cut on a real machine.</t>
  </si>
  <si>
    <t xml:space="preserve">Merged (PR 152) after Opus review, 2 fixes (sub-pitch thread coverage, verify floor). Open: feed is at tool center so the cutting edge runs faster in small holes; not tested on a real machine.</t>
  </si>
  <si>
    <t xml:space="preserve">Trace picture form and button landed (item 14, commit b0d4f63). The wasm picture picker is still to do.</t>
  </si>
  <si>
    <t xml:space="preserve">Merged (PR 150) after Opus review. Fixes: verify grid for large stock, hatch/raster angle mirror, thread and countersink hole mirror, unsafe spoilboard warning. Open: pause does not name the sheet, one-plunge pin holes; not cut on a real machine.</t>
  </si>
  <si>
    <t xml:space="preserve">Built in a worktree, no PR yet.</t>
  </si>
  <si>
    <t xml:space="preserve">Merged (PR 149); reviewed, 4 fixes (time limit, memory guard, setup limit).</t>
  </si>
  <si>
    <t xml:space="preserve">Flat bottom with a second tool is built; still to do: several passes, start points, joined runs, smoothing, auto-weld</t>
  </si>
  <si>
    <t xml:space="preserve">4</t>
  </si>
  <si>
    <t xml:space="preserve">Merged (PR 155), written by Nemotron, Opus review found 5 bugs and missing tests, all fixed. Brightness, contrast, gamma, crop, rotate, flip before trace. Open: form uses number fields, not sliders.</t>
  </si>
  <si>
    <t xml:space="preserve">PR 147 open, in review. Tester report fixed: large SVG no longer refused ("path has too many segments"), PR 148 merged after Opus review (2 fixes: corner accuracy, join order). PDF, AI and EPS import merged (PR 147), Opus review fixed compound paths, curve operators, page size, memory blowups and a panic. Unicode-3.0 license approved. Open: EPS from Inkscape/cairo (short procedure names) imports nothing; PDF form XObjects skipped with a warning.</t>
  </si>
  <si>
    <t xml:space="preserve">Conditionally approved</t>
  </si>
  <si>
    <t xml:space="preserve">PR #135 merged 2026-10-16 after an Opus safety review: Onefinity file upload (never starts the job) and GRBL serial streaming, Send to Machine window with three confirmations, verify required on every sheet, agents can only dry-run. Tested against fakes only. Done after a real air cut: confirm which upload address the Onefinity firmware accepts, and the GRBL pause and Continue.</t>
  </si>
  <si>
    <t xml:space="preserve">Text on a curve and kerning merged (PR #144, 31 tests). Still to do: spell check.</t>
  </si>
  <si>
    <t xml:space="preserve">1c</t>
  </si>
  <si>
    <t xml:space="preserve">PR #164 merged 2026-10-19: stacked V-carve with per-tool pass depth and stepover winning over the global values. </t>
  </si>
  <si>
    <t xml:space="preserve">3</t>
  </si>
  <si>
    <t xml:space="preserve">0</t>
  </si>
  <si>
    <t xml:space="preserve">Planned, not rival-driven (no rival data yet) Tester feedback 2026-10-19: the carved result should show in the main window with the material and the SVG shapes, as in other CNC programs, not only in a separate window. Moved up next to items 88 to 91.</t>
  </si>
  <si>
    <t xml:space="preserve">Planned, not rival-driven (no rival data yet)</t>
  </si>
  <si>
    <t xml:space="preserve">1d</t>
  </si>
  <si>
    <t xml:space="preserve">1f</t>
  </si>
  <si>
    <t xml:space="preserve">Merged (PR #145): job.run with a machine post stops at awaiting_approval; job.approve releases the file; send commands are dry runs; end-to-end MCP test.</t>
  </si>
  <si>
    <t xml:space="preserve">1e</t>
  </si>
  <si>
    <t xml:space="preserve">1a</t>
  </si>
  <si>
    <t xml:space="preserve">1b</t>
  </si>
  <si>
    <t xml:space="preserve">PR #181 merged 2026-10-21 (written by a local model, Opus-reviewed 4 rounds): public G-code reader and safety checker (crates/post/src/gcode.rs), cam.check_gcode, help page. Anything it cannot read with certainty is reported unproven, so ok:true is trustworthy; G28/G30/probing/subroutines/other-program files report unproven. Follow-ups: unknown codes before the first move should be unproven too; pause-text rule flags plain English like 'to 1'.</t>
  </si>
  <si>
    <t xml:space="preserve">3b</t>
  </si>
  <si>
    <t xml:space="preserve">3e</t>
  </si>
  <si>
    <t xml:space="preserve">3d</t>
  </si>
  <si>
    <t xml:space="preserve">PR #179 merged 2026-10-19: picture tone (brightness, contrast, gamma, clip, smooth), TIFF and BMP import. Float TIFF only for RGB/RGBA; single-channel float TIFF not supported yet.</t>
  </si>
  <si>
    <t xml:space="preserve">3a</t>
  </si>
  <si>
    <t xml:space="preserve">3c</t>
  </si>
  <si>
    <t xml:space="preserve">Last</t>
  </si>
  <si>
    <t xml:space="preserve">Local AI support (milestone test): a local model (Qwen 27B in the Deepseek harness) drives LibreCarve from the shell through tools/lc.py and builds a job (material, shape, toolpath, simulate, G-code) with no help</t>
  </si>
  <si>
    <t xml:space="preserve">Milestone</t>
  </si>
  <si>
    <t xml:space="preserve">Differentiator D5. Claude-driven jobs are already tested complete (D1). Helper tools/lc.py and prompt docs/librecarve/local-model-prompt.md merged (#113). Pass = the model finishes the job and the G-code verifies with 0 violations. First run 2026-10-16 (Qwen 3.8 27B): material, circle, profile, verify (0 violations), simulate and G-code all done; needed one correction (sheet origin) and a fresh session after the context filled. Done after one clean unaided run with prompt v2 and the default tools. Clean unaided rerun 2026-10-16 with prompt v2 and the default tools: sheet, centered circle, 1/4 inch profile, verify (0 violations), 3D simulate and onefinity G-code (job.ngc, 27 lines). Note: the profile ran without tabs; the prompt should tell the model to set hold in Material Setup for through cuts.</t>
  </si>
  <si>
    <t xml:space="preserve">85</t>
  </si>
  <si>
    <t xml:space="preserve">Background toolpaths with progress and Cancel: long CAM work runs off the UI thread on a share of the CPU cores (setting 25/50/75/100%, default 50%)</t>
  </si>
  <si>
    <t xml:space="preserve">Performance</t>
  </si>
  <si>
    <t xml:space="preserve">Merged in PR 162. The 1.svg V-carve went from freezing the window to about 10 s. Programmatic calls stay synchronous. Log file ~/.config/librecarve/logs/librecarve.log.</t>
  </si>
  <si>
    <t xml:space="preserve">86</t>
  </si>
  <si>
    <t xml:space="preserve">GPU stock simulation (wgpu compute) with a CPU reference and automatic fallback</t>
  </si>
  <si>
    <t xml:space="preserve">Merged in PR 161 (docs/librecarve/gpu-simulation.md). cam.simulate takes gpu: true|false|auto. Timing on the real GPU still to be measured on the owner machine.</t>
  </si>
  <si>
    <t xml:space="preserve">87</t>
  </si>
  <si>
    <t xml:space="preserve">3D relief orientation: mirror left-right, mirror front-back, turn in 90 degree steps and upside down on picture and model imports</t>
  </si>
  <si>
    <t xml:space="preserve">Merged in PR 167, from a tester report (a model came in backwards and could not be fixed). Textures refuse these options. Still open: a "View model" window to look at an added relief on its own, move/rotate after adding, clip cam.relief to the footprint (it cuts the whole grid, up to one cell past it), and a small Y offset for pictures imported with skip above 1.</t>
  </si>
  <si>
    <t xml:space="preserve">Check for updates (notify only): Help menu, About button and app.check_updates; reads the public releases repo, never downloads, no check at startup, no telemetry</t>
  </si>
  <si>
    <t xml:space="preserve">Done. Merged in PR #190 (2026-10-22). New crate librecarve-update (logic, 13 tests); the desktop app uses the system curl for the single https request (10 s timeout, 1 MB cap) because no TLS crate with an allowed licence is in the tree (rustls stacks carry ISC / CDLA-Permissive-2.0). Owner approved curl 2026-10-22. Not checked: a real 'new version' answer (the releases repo had no release at build time) and a wasm build. Needs item 98 fixed to see it work on v0.1.5.</t>
  </si>
  <si>
    <t xml:space="preserve">Public releases: installers on a public repo (LibreCarve-releases) while the code stays private; README, INSTALL guide, licenses and issue templates there</t>
  </si>
  <si>
    <t xml:space="preserve">Release</t>
  </si>
  <si>
    <t xml:space="preserve">Done. Public repo jhvanriper-rgb/LibreCarve-releases created by the owner; README, INSTALL.md, licenses, NOTICE and issue templates pushed; release workflows publish there with the RELEASES_TOKEN secret (PR #188, 2026-10-22). v0.1.5 published for Linux, macOS (universal) and Windows with checksums. Follow-ups: the About window and README still say 'open-source' (inaccurate while the code is private); the bundled README in the zips still names private repo paths; the fine-grained token expires in about a year.</t>
  </si>
  <si>
    <t xml:space="preserve">Release workflows must not mark releases as pre-release, so the public repo shows a Latest release and the update check can find it</t>
  </si>
  <si>
    <t xml:space="preserve">Bug</t>
  </si>
  <si>
    <t xml:space="preserve">Found 2026-10-22: the three release workflows pass --prerelease, and GitHub's releases/latest lookup skips pre-releases, so the update check (item 96) answers 'No release has been published yet' for v0.1.5. Workaround: untick pre-release on the release page by hand. Fix: drop --prerelease (or add an input), and make the three workflows write one shared description (the Windows, Mac and Linux jobs each write their own, and the last one wins).</t>
  </si>
  <si>
    <t xml:space="preserve">Zoom to everything ignores the height map and the stock, so a job with no drawn shapes does not frame the board</t>
  </si>
  <si>
    <t xml:space="preserve">Found 2026-10-22 while recording a demo: with only material and a height map in the job the Zoom to everything button and ZOOM Extents leave the view unchanged; the workaround was ZOOM Window on the stock corners. Fix: extents include the stock rectangle and the relief footprint.</t>
  </si>
  <si>
    <t xml:space="preserve">Existing failing tests on main: drawing_panel::boolean_opens_its_form_and_check_shapes_runs, cam_panel::the_palette_adds_sheets_and_the_post_form_offers_one_file_for_each, and the help-index test (toolpaths-start does not link photo-to-relief)</t>
  </si>
  <si>
    <t xml:space="preserve">Quality</t>
  </si>
  <si>
    <t xml:space="preserve">Minor, found 2026-10-21 and 2026-10-22 during reviews. The first two fail identically on clean main; the help-index failure was reported by the update-check agent and not rerun on clean main. None is caused by items 92-96. Fix before cargo xtask ci can be green again.</t>
  </si>
  <si>
    <t xml:space="preserve">Not on this list: items marked Not planned in the Matrix (4/5-axis, parametric solids, cloud sync). Move one into the list if you decide to build it.</t>
  </si>
  <si>
    <t xml:space="preserve">Work status values: Not started, In progress, Conditionally approved, Done, Needs decision. When a feature lands, set it Done here and change its LibreCarve cell on the Matrix sheet.</t>
  </si>
  <si>
    <t xml:space="preserve">Differentiators: things LibreCarve does that rivals do not</t>
  </si>
  <si>
    <t xml:space="preserve">Not ranked by rival count. Status uses the same values as the Priority list.</t>
  </si>
  <si>
    <t xml:space="preserve">Differentiator</t>
  </si>
  <si>
    <t xml:space="preserve">Why it sets LibreCarve apart</t>
  </si>
  <si>
    <t xml:space="preserve">Priority list item</t>
  </si>
  <si>
    <t xml:space="preserve">D1</t>
  </si>
  <si>
    <t xml:space="preserve">AI-driven jobs with Claude: the model runs the whole job through MCP or the shell helper</t>
  </si>
  <si>
    <t xml:space="preserve">Rivals have no scripting or agent control. Tested complete with Claude.</t>
  </si>
  <si>
    <t xml:space="preserve">D2</t>
  </si>
  <si>
    <t xml:space="preserve">Texture Design: height maps generated from parameters, usable by command</t>
  </si>
  <si>
    <t xml:space="preserve">Textures and relief come from commands, so they can be scripted and repeated.</t>
  </si>
  <si>
    <t xml:space="preserve">D3</t>
  </si>
  <si>
    <t xml:space="preserve">No edition limits</t>
  </si>
  <si>
    <t xml:space="preserve">No work-area, model-count or toolpath-size caps and no paid tiers.</t>
  </si>
  <si>
    <t xml:space="preserve">D4</t>
  </si>
  <si>
    <t xml:space="preserve">Cross-platform and web builds</t>
  </si>
  <si>
    <t xml:space="preserve">Same core runs native on Linux, Windows, macOS and in the browser (wasm).</t>
  </si>
  <si>
    <t xml:space="preserve">D5</t>
  </si>
  <si>
    <t xml:space="preserve">Local AI support: a local model (Qwen 27B in the Deepseek harness) runs a whole job</t>
  </si>
  <si>
    <t xml:space="preserve">Same control, no cloud: the job stays on the shop machine.</t>
  </si>
  <si>
    <t xml:space="preserve">84</t>
  </si>
  <si>
    <t xml:space="preserve">LibreCarve vs the CNC software field: features by product, cheapest to dearest</t>
  </si>
  <si>
    <t xml:space="preserve">LibreCarve column = status in the repo on 2026-10-15. Other columns: Yes / Partial / No / ? (not confirmed). Products run left to right from free to the highest cost.</t>
  </si>
  <si>
    <t xml:space="preserve">Feature</t>
  </si>
  <si>
    <t xml:space="preserve">LibreCarve (status)</t>
  </si>
  <si>
    <t xml:space="preserve">FreeCAD</t>
  </si>
  <si>
    <t xml:space="preserve">Carbide Create Pro</t>
  </si>
  <si>
    <t xml:space="preserve">Easel</t>
  </si>
  <si>
    <t xml:space="preserve">Easel Pro</t>
  </si>
  <si>
    <t xml:space="preserve">Fusion 360</t>
  </si>
  <si>
    <t xml:space="preserve">VCarve Pro</t>
  </si>
  <si>
    <t xml:space="preserve">Aspire</t>
  </si>
  <si>
    <t xml:space="preserve">Mastercam</t>
  </si>
  <si>
    <t xml:space="preserve">Rivals with it (of 8): Yes = 1, Partial = 0.5</t>
  </si>
  <si>
    <t xml:space="preserve">Build priority rank (1 = first)</t>
  </si>
  <si>
    <t xml:space="preserve">Price / licence</t>
  </si>
  <si>
    <t xml:space="preserve">Free, open source</t>
  </si>
  <si>
    <t xml:space="preserve">$120/year subscription, or $360 once</t>
  </si>
  <si>
    <t xml:space="preserve">Free plan: $0, 1 export per week (Starter $72/year adds 20 per week)</t>
  </si>
  <si>
    <t xml:space="preserve">$216/year ($72 Starter; Free tier: 1 export/week)</t>
  </si>
  <si>
    <t xml:space="preserve">$680/year (free for non-commercial personal use)</t>
  </si>
  <si>
    <t xml:space="preserve">$699 once (perpetual)</t>
  </si>
  <si>
    <t xml:space="preserve">$1,995 once (perpetual)</t>
  </si>
  <si>
    <t xml:space="preserve">No public price; est. $6,000-$15,000 perpetual + maintenance</t>
  </si>
  <si>
    <t xml:space="preserve">First-year cost (USD, number)</t>
  </si>
  <si>
    <t xml:space="preserve">Price source</t>
  </si>
  <si>
    <t xml:space="preserve">Carbide 3D buy page, Oct 2026</t>
  </si>
  <si>
    <t xml:space="preserve">Easel plans page (support.easel.com), read Oct 2026. Rows the page does not cover are ?</t>
  </si>
  <si>
    <t xml:space="preserve">Easel plans page, Oct 2026</t>
  </si>
  <si>
    <t xml:space="preserve">Vagon pricing summary, checked Aug 2026</t>
  </si>
  <si>
    <t xml:space="preserve">Retailer listing (Onefinity CNC), Oct 2026</t>
  </si>
  <si>
    <t xml:space="preserve">Retailer listing, Oct 2026</t>
  </si>
  <si>
    <t xml:space="preserve">ESTIMATE: NexGen comparison page; 2017 forum post said $5,000/year for 3-axis</t>
  </si>
  <si>
    <t xml:space="preserve">1. 2D design and drawing</t>
  </si>
  <si>
    <t xml:space="preserve">Shapes: line, arc, circle, rectangle, polygon, polyline</t>
  </si>
  <si>
    <t xml:space="preserve">Built</t>
  </si>
  <si>
    <t xml:space="preserve">Yes</t>
  </si>
  <si>
    <t xml:space="preserve">No</t>
  </si>
  <si>
    <t xml:space="preserve">Node editing and Bezier curves</t>
  </si>
  <si>
    <t xml:space="preserve">Offset, trim, fillet, mirror, move, scale</t>
  </si>
  <si>
    <t xml:space="preserve">?</t>
  </si>
  <si>
    <t xml:space="preserve">Rectangular and circular arrays</t>
  </si>
  <si>
    <t xml:space="preserve">Dimensions that update with the part</t>
  </si>
  <si>
    <t xml:space="preserve">Booleans: weld, subtract, intersect</t>
  </si>
  <si>
    <t xml:space="preserve">Shape check and tidy (gaps, duplicates, overlaps)</t>
  </si>
  <si>
    <t xml:space="preserve">2. Text and bitmaps</t>
  </si>
  <si>
    <t xml:space="preserve">TrueType and OpenType text to cuttable outlines</t>
  </si>
  <si>
    <t xml:space="preserve">Starter font set shipped, and importing your own fonts</t>
  </si>
  <si>
    <t xml:space="preserve">Text on a curve, kerning, spell check</t>
  </si>
  <si>
    <t xml:space="preserve">Image tracing to vectors (form and button done; wasm picture picker still to do)</t>
  </si>
  <si>
    <t xml:space="preserve">Bitmap tools: brightness, contrast, crop</t>
  </si>
  <si>
    <t xml:space="preserve">3. Import and export</t>
  </si>
  <si>
    <t xml:space="preserve">DXF import</t>
  </si>
  <si>
    <t xml:space="preserve">SVG import</t>
  </si>
  <si>
    <t xml:space="preserve">DWG import</t>
  </si>
  <si>
    <t xml:space="preserve">EPS, AI and PDF import</t>
  </si>
  <si>
    <t xml:space="preserve">Planned</t>
  </si>
  <si>
    <t xml:space="preserve">STL, OBJ and 3MF mesh import</t>
  </si>
  <si>
    <t xml:space="preserve">STEP and IGES import</t>
  </si>
  <si>
    <t xml:space="preserve">DXF export of vectors</t>
  </si>
  <si>
    <t xml:space="preserve">4. Job setup</t>
  </si>
  <si>
    <t xml:space="preserve">Stock size, Z zero, safe Z, XY datum, metric and inch</t>
  </si>
  <si>
    <t xml:space="preserve">Project files, layers, saved job recipes</t>
  </si>
  <si>
    <t xml:space="preserve">Several sheets or setups in one job</t>
  </si>
  <si>
    <t xml:space="preserve">Two-sided jobs with a flip</t>
  </si>
  <si>
    <t xml:space="preserve">Rotary (4th axis) wrapping</t>
  </si>
  <si>
    <t xml:space="preserve">Hold-down setting with a warning on through cuts</t>
  </si>
  <si>
    <t xml:space="preserve">5. 2D and 2.5D toolpaths</t>
  </si>
  <si>
    <t xml:space="preserve">Profile: inside, outside, on the line</t>
  </si>
  <si>
    <t xml:space="preserve">Holding tabs</t>
  </si>
  <si>
    <t xml:space="preserve">Ramp entry and lead-in/out</t>
  </si>
  <si>
    <t xml:space="preserve">Pocket with islands</t>
  </si>
  <si>
    <t xml:space="preserve">Rest machining with a smaller tool</t>
  </si>
  <si>
    <t xml:space="preserve">Pocket extras: raster clearing, wall finish, fewer retracts</t>
  </si>
  <si>
    <t xml:space="preserve">Drilling with peck and chip break</t>
  </si>
  <si>
    <t xml:space="preserve">Thread milling</t>
  </si>
  <si>
    <t xml:space="preserve">Engraving along lines, hatched fill</t>
  </si>
  <si>
    <t xml:space="preserve">V-carve basics (variable depth along the centre line)</t>
  </si>
  <si>
    <t xml:space="preserve">V-carve flat bottom with a second tool</t>
  </si>
  <si>
    <t xml:space="preserve">Inlay (plug and pocket that fit)</t>
  </si>
  <si>
    <t xml:space="preserve">Fluting, texture, raised prism, moulding</t>
  </si>
  <si>
    <t xml:space="preserve">Chamfer and countersink toolpaths</t>
  </si>
  <si>
    <t xml:space="preserve">True-shape nesting</t>
  </si>
  <si>
    <t xml:space="preserve">6. 3D machining and relief</t>
  </si>
  <si>
    <t xml:space="preserve">Height map from an image or mesh, embedded in the stock</t>
  </si>
  <si>
    <t xml:space="preserve">3D roughing and finishing of a model</t>
  </si>
  <si>
    <t xml:space="preserve">Relief modelling: components, shapes, sculpting (Aspire)</t>
  </si>
  <si>
    <t xml:space="preserve">Lithophane and photo carving</t>
  </si>
  <si>
    <t xml:space="preserve">Simultaneous 4/5-axis machining</t>
  </si>
  <si>
    <t xml:space="preserve">Not planned</t>
  </si>
  <si>
    <t xml:space="preserve">Parametric 3D solid modelling</t>
  </si>
  <si>
    <t xml:space="preserve">7. Simulation, tools and machines</t>
  </si>
  <si>
    <t xml:space="preserve">Cut simulation: top view and turnable 3D block</t>
  </si>
  <si>
    <t xml:space="preserve">Independent gouge and depth check of the toolpath</t>
  </si>
  <si>
    <t xml:space="preserve">Time estimate that accounts for acceleration</t>
  </si>
  <si>
    <t xml:space="preserve">Tool database with feeds and speeds by material</t>
  </si>
  <si>
    <t xml:space="preserve">Automatic choice of bit and feeds for an operation</t>
  </si>
  <si>
    <t xml:space="preserve">Post-processor library</t>
  </si>
  <si>
    <t xml:space="preserve">One file per tool, or one file with a bit-change pause</t>
  </si>
  <si>
    <t xml:space="preserve">Machine profiles and setup wizard</t>
  </si>
  <si>
    <t xml:space="preserve">Send to the machine from inside the program</t>
  </si>
  <si>
    <t xml:space="preserve">8. Production, automation and platform</t>
  </si>
  <si>
    <t xml:space="preserve">Scripting and command interface (CLI, scripts)</t>
  </si>
  <si>
    <t xml:space="preserve">AI assistant can run a whole job (MCP)</t>
  </si>
  <si>
    <t xml:space="preserve">Free of edition limits and open source</t>
  </si>
  <si>
    <t xml:space="preserve">Toolpath templates, merged toolpaths, setup sheets</t>
  </si>
  <si>
    <t xml:space="preserve">Laser output and hybrid CNC/laser jobs</t>
  </si>
  <si>
    <t xml:space="preserve">Cabinet workflow: labels, drill banks, cabinet import</t>
  </si>
  <si>
    <t xml:space="preserve">Cloud storage, sync and sharing</t>
  </si>
  <si>
    <t xml:space="preserve">9. Other planned work (no rival comparison yet: rivals marked ?)</t>
  </si>
  <si>
    <t xml:space="preserve">Measure real move times and set the acceleration default</t>
  </si>
  <si>
    <t xml:space="preserve">Crash and event log file, so an unexpected quit can be traced without terminal output</t>
  </si>
  <si>
    <t xml:space="preserve">Exact (non-sampled) gouge check</t>
  </si>
  <si>
    <t xml:space="preserve">G-code parser for golden tests (every post lifts Z before XY)</t>
  </si>
  <si>
    <t xml:space="preserve">End-to-end test of a whole job through MCP and the scripted CLI</t>
  </si>
  <si>
    <t xml:space="preserve">Approval gate: a human releases the G-code file</t>
  </si>
  <si>
    <t xml:space="preserve">Tool and feed selection by command</t>
  </si>
  <si>
    <t xml:space="preserve">Agent guide served to agents as an MCP resource; AI automation Help section</t>
  </si>
  <si>
    <t xml:space="preserve">Profile extras: last-pass allowance, square corners, open-vector sides, start points</t>
  </si>
  <si>
    <t xml:space="preserve">V-carve extras: several passes, start points, joined runs, smoothing, auto-weld, multi-tool</t>
  </si>
  <si>
    <t xml:space="preserve">Multi-tool rest clearing</t>
  </si>
  <si>
    <t xml:space="preserve">Auto-inlay</t>
  </si>
  <si>
    <t xml:space="preserve">PhotoVCarving</t>
  </si>
  <si>
    <t xml:space="preserve">Project 2D toolpaths onto a 3D surface</t>
  </si>
  <si>
    <t xml:space="preserve">Sketch carving</t>
  </si>
  <si>
    <t xml:space="preserve">Toolpath tiling and batch toolpath saving</t>
  </si>
  <si>
    <t xml:space="preserve">Drill-bank toolpaths</t>
  </si>
  <si>
    <t xml:space="preserve">Array copy toolpath</t>
  </si>
  <si>
    <t xml:space="preserve">Keep-out zones that rapids route around</t>
  </si>
  <si>
    <t xml:space="preserve">Production plate engraving from CSV</t>
  </si>
  <si>
    <t xml:space="preserve">Gadget scripting (Rhai or Lua)</t>
  </si>
  <si>
    <t xml:space="preserve">Controller cutter compensation (G41/G42)</t>
  </si>
  <si>
    <t xml:space="preserve">Star, freehand and polyline drawing; reopen a shape's form</t>
  </si>
  <si>
    <t xml:space="preserve">Weld and boolean directly on polylines; drag-snip; trim to a boundary</t>
  </si>
  <si>
    <t xml:space="preserve">Smart snapping to extensions and guidelines</t>
  </si>
  <si>
    <t xml:space="preserve">Node editing across many vectors</t>
  </si>
  <si>
    <t xml:space="preserve">Distort and rotated-bounds transforms</t>
  </si>
  <si>
    <t xml:space="preserve">Vector texture generator</t>
  </si>
  <si>
    <t xml:space="preserve">Close and join an outline from the drawing UI</t>
  </si>
  <si>
    <t xml:space="preserve">EPS and AI export</t>
  </si>
  <si>
    <t xml:space="preserve">Any number of 3D models per job; orient and segment them</t>
  </si>
  <si>
    <t xml:space="preserve">Clipart browser and starter library</t>
  </si>
  <si>
    <t xml:space="preserve">Printing and standard sheet templates</t>
  </si>
  <si>
    <t xml:space="preserve">STL and OBJ export of reliefs</t>
  </si>
  <si>
    <t xml:space="preserve">3DM import</t>
  </si>
  <si>
    <t xml:space="preserve">Support for more controllers (Mach3/4, LinuxCNC, UCCNC, Masso, Centroid), with a post template language</t>
  </si>
  <si>
    <t xml:space="preserve">Online tool database sync and shared read-only databases</t>
  </si>
  <si>
    <t xml:space="preserve">2D/3D view tabs; 3D view with live simulation, orbit and scrubbing</t>
  </si>
  <si>
    <t xml:space="preserve">On-canvas Text prompt</t>
  </si>
  <si>
    <t xml:space="preserve">Choose which toolpaths to simulate; show the picture in the app</t>
  </si>
  <si>
    <t xml:space="preserve">Hatch preview that stays visible; Drawing Recovery; highlight the active drawing tool</t>
  </si>
  <si>
    <t xml:space="preserve">Packaging with LibreCarve ids and file names (CADCraft names remain)</t>
  </si>
  <si>
    <t xml:space="preserve">Relief component tree: levels, combine modes, bake, mirror, live 3D manipulation</t>
  </si>
  <si>
    <t xml:space="preserve">Relief shape tools: round, angled, smooth, custom profile; two-rail sweep; extrude and weave</t>
  </si>
  <si>
    <t xml:space="preserve">3D textures and texture area tiling</t>
  </si>
  <si>
    <t xml:space="preserve">Sculpting brushes, stamping, local undo</t>
  </si>
  <si>
    <t xml:space="preserve">Relief slicing, offset, invert for moulds, emboss a 3D model, cross-section to vector</t>
  </si>
  <si>
    <t xml:space="preserve">Drawing and editing in the 3D view</t>
  </si>
  <si>
    <t xml:space="preserve">Photo carve from depth maps (greyscale and 16-bit)</t>
  </si>
  <si>
    <t xml:space="preserve">AI depth estimation from an ordinary photo</t>
  </si>
  <si>
    <t xml:space="preserve">Native machine sender: stream, jog, zero, probe, surface, macros</t>
  </si>
  <si>
    <t xml:space="preserve">Tool-change wizards</t>
  </si>
  <si>
    <t xml:space="preserve">AI relief from a sketch or text</t>
  </si>
  <si>
    <t xml:space="preserve">Client proofs: interactive 3D PDF or web viewer</t>
  </si>
  <si>
    <t xml:space="preserve">Translation of the CAM screens and help pages</t>
  </si>
  <si>
    <t xml:space="preserve">Counts from the Matrix sheet (formulas)</t>
  </si>
  <si>
    <t xml:space="preserve">Product</t>
  </si>
  <si>
    <t xml:space="preserve">Done / Yes</t>
  </si>
  <si>
    <t xml:space="preserve">No / Not planned</t>
  </si>
  <si>
    <t xml:space="preserve">? (unconfirmed)</t>
  </si>
  <si>
    <t xml:space="preserve">Score: (Yes + half of Partial) / rated rows</t>
  </si>
  <si>
    <t xml:space="preserve">LibreCarve</t>
  </si>
  <si>
    <t xml:space="preserve">Score counts a Partial as half. Planned and No both count as not available. Rows marked ? are not in the score. Section 9 (other planned work) is left out of the counts because rivals are not rated on it. It is a rough guide to breadth, not a quality rating.</t>
  </si>
  <si>
    <t xml:space="preserve">Prices and where they came from (read October 2026)</t>
  </si>
  <si>
    <t xml:space="preserve">Price</t>
  </si>
  <si>
    <t xml:space="preserve">Licence</t>
  </si>
  <si>
    <t xml:space="preserve">Source</t>
  </si>
  <si>
    <t xml:space="preserve">Confidence</t>
  </si>
  <si>
    <t xml:space="preserve">$0</t>
  </si>
  <si>
    <t xml:space="preserve">Open source, no editions</t>
  </si>
  <si>
    <t xml:space="preserve">Repo</t>
  </si>
  <si>
    <t xml:space="preserve">Exact</t>
  </si>
  <si>
    <t xml:space="preserve">Open source</t>
  </si>
  <si>
    <t xml:space="preserve">Project</t>
  </si>
  <si>
    <t xml:space="preserve">gSender</t>
  </si>
  <si>
    <t xml:space="preserve">Free G-code sender</t>
  </si>
  <si>
    <t xml:space="preserve">Sienci Labs</t>
  </si>
  <si>
    <t xml:space="preserve">Known, not rechecked</t>
  </si>
  <si>
    <t xml:space="preserve">Inkscape</t>
  </si>
  <si>
    <t xml:space="preserve">Open source vector editor</t>
  </si>
  <si>
    <t xml:space="preserve">$120/year, or $360 once (+$120/year for updates after the first year)</t>
  </si>
  <si>
    <t xml:space="preserve">Subscription or perpetual</t>
  </si>
  <si>
    <t xml:space="preserve">https://carbide3d.com/carbidecreate/buy/</t>
  </si>
  <si>
    <t xml:space="preserve">Vendor page</t>
  </si>
  <si>
    <t xml:space="preserve">Free (1 export/week); Starter $72/year; Pro $216/year or $599 for 3 years</t>
  </si>
  <si>
    <t xml:space="preserve">Subscription</t>
  </si>
  <si>
    <t xml:space="preserve">https://support.easel.com/hc/en-us/articles/52649769958163-Easel-Plans-Pricing</t>
  </si>
  <si>
    <t xml:space="preserve">$680/year ($85/month); free for non-commercial personal use, 3 years</t>
  </si>
  <si>
    <t xml:space="preserve">https://vagon.io/blog/fusion-360-pricing (summary of Autodesk's page, checked Aug 2026)</t>
  </si>
  <si>
    <t xml:space="preserve">Third-party summary</t>
  </si>
  <si>
    <t xml:space="preserve">Vectric VCarve Pro / Aspire</t>
  </si>
  <si>
    <t xml:space="preserve">VCarve Pro $699; Aspire $1,995</t>
  </si>
  <si>
    <t xml:space="preserve">Perpetual</t>
  </si>
  <si>
    <t xml:space="preserve">https://www.onefinitycnc.com/product-page/v-carve-pro (retailer)</t>
  </si>
  <si>
    <t xml:space="preserve">Retailer listing, not Vectric's own site</t>
  </si>
  <si>
    <t xml:space="preserve">No public price. Estimates: about $6,000-$15,000 perpetual plus yearly maintenance; a 2017 forum post quoted $5,000/year for 3-axis milling</t>
  </si>
  <si>
    <t xml:space="preserve">Subscription or perpetual, by quote</t>
  </si>
  <si>
    <t xml:space="preserve">https://nexgensolutions.com/fusion-vs-mastercam/ ; https://www.practicalmachinist.com/forum/threads/talk-me-out-of-buying-mastercam.336561/</t>
  </si>
  <si>
    <t xml:space="preserve">Low: estimate</t>
  </si>
</sst>
</file>

<file path=xl/styles.xml><?xml version="1.0" encoding="utf-8"?>
<styleSheet xmlns="http://schemas.openxmlformats.org/spreadsheetml/2006/main">
  <numFmts count="4">
    <numFmt numFmtId="164" formatCode="General"/>
    <numFmt numFmtId="165" formatCode="0.0"/>
    <numFmt numFmtId="166" formatCode="\$#,##0;&quot;($&quot;#,##0\);&quot;$0&quot;"/>
    <numFmt numFmtId="167" formatCode="0.0%"/>
  </numFmts>
  <fonts count="16">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b val="true"/>
      <sz val="10"/>
      <color rgb="FFFFFFFF"/>
      <name val="Arial"/>
      <family val="0"/>
      <charset val="1"/>
    </font>
    <font>
      <sz val="10"/>
      <name val="Arial"/>
      <family val="0"/>
      <charset val="1"/>
    </font>
    <font>
      <sz val="10"/>
      <color rgb="FF0000FF"/>
      <name val="Arial"/>
      <family val="0"/>
      <charset val="1"/>
    </font>
    <font>
      <b val="true"/>
      <sz val="10"/>
      <color rgb="FF000000"/>
      <name val="Arial"/>
      <family val="0"/>
      <charset val="1"/>
    </font>
    <font>
      <b val="true"/>
      <sz val="10"/>
      <color rgb="FF0000FF"/>
      <name val="Arial"/>
      <family val="0"/>
      <charset val="1"/>
    </font>
    <font>
      <sz val="8"/>
      <color rgb="FF595959"/>
      <name val="Arial"/>
      <family val="0"/>
      <charset val="1"/>
    </font>
    <font>
      <b val="true"/>
      <sz val="10"/>
      <name val="Arial"/>
      <family val="0"/>
      <charset val="1"/>
    </font>
    <font>
      <sz val="10"/>
      <name val="Arial"/>
      <family val="2"/>
    </font>
    <font>
      <b val="true"/>
      <sz val="12"/>
      <name val="Arial"/>
      <family val="0"/>
      <charset val="1"/>
    </font>
    <font>
      <i val="true"/>
      <sz val="9"/>
      <color rgb="FF595959"/>
      <name val="Arial"/>
      <family val="0"/>
      <charset val="1"/>
    </font>
  </fonts>
  <fills count="13">
    <fill>
      <patternFill patternType="none"/>
    </fill>
    <fill>
      <patternFill patternType="gray125"/>
    </fill>
    <fill>
      <patternFill patternType="solid">
        <fgColor rgb="FF1F3864"/>
        <bgColor rgb="FF333333"/>
      </patternFill>
    </fill>
    <fill>
      <patternFill patternType="solid">
        <fgColor rgb="FFFFFFCC"/>
        <bgColor rgb="FFFFFFFF"/>
      </patternFill>
    </fill>
    <fill>
      <patternFill patternType="solid">
        <fgColor rgb="FFD9E1F2"/>
        <bgColor rgb="FFD9D9D9"/>
      </patternFill>
    </fill>
    <fill>
      <patternFill patternType="solid">
        <fgColor rgb="FF808080"/>
        <bgColor rgb="FF969696"/>
      </patternFill>
    </fill>
    <fill>
      <patternFill patternType="solid">
        <fgColor rgb="FFF2F2F2"/>
        <bgColor rgb="FFEDEDED"/>
      </patternFill>
    </fill>
    <fill>
      <patternFill patternType="solid">
        <fgColor rgb="FFC6EFCE"/>
        <bgColor rgb="FFD9E1F2"/>
      </patternFill>
    </fill>
    <fill>
      <patternFill patternType="solid">
        <fgColor rgb="FFF8CBAD"/>
        <bgColor rgb="FFD9D9D9"/>
      </patternFill>
    </fill>
    <fill>
      <patternFill patternType="solid">
        <fgColor rgb="FFBDD7EE"/>
        <bgColor rgb="FFD9D9D9"/>
      </patternFill>
    </fill>
    <fill>
      <patternFill patternType="solid">
        <fgColor rgb="FFFFEB9C"/>
        <bgColor rgb="FFFFFFCC"/>
      </patternFill>
    </fill>
    <fill>
      <patternFill patternType="solid">
        <fgColor rgb="FFEDEDED"/>
        <bgColor rgb="FFF2F2F2"/>
      </patternFill>
    </fill>
    <fill>
      <patternFill patternType="solid">
        <fgColor rgb="FFD9D9D9"/>
        <bgColor rgb="FFD9E1F2"/>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8">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8" fillId="3"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5" fontId="7" fillId="0"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9" fillId="4"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6" fontId="10" fillId="4" borderId="1" xfId="0" applyFont="true" applyBorder="true" applyAlignment="true" applyProtection="false">
      <alignment horizontal="center" vertical="bottom" textRotation="0" wrapText="fals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general" vertical="bottom" textRotation="0" wrapText="fals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12" fillId="6" borderId="1" xfId="0" applyFont="true" applyBorder="true" applyAlignment="true" applyProtection="false">
      <alignment horizontal="center" vertical="center" textRotation="0" wrapText="false" indent="0" shrinkToFit="false"/>
      <protection locked="true" hidden="false"/>
    </xf>
    <xf numFmtId="164" fontId="12" fillId="7" borderId="1" xfId="0" applyFont="true" applyBorder="true" applyAlignment="true" applyProtection="false">
      <alignment horizontal="center" vertical="center" textRotation="0" wrapText="false" indent="0" shrinkToFit="false"/>
      <protection locked="true" hidden="false"/>
    </xf>
    <xf numFmtId="164" fontId="7" fillId="7" borderId="1" xfId="0" applyFont="true" applyBorder="true" applyAlignment="true" applyProtection="false">
      <alignment horizontal="center" vertical="center" textRotation="0" wrapText="false" indent="0" shrinkToFit="false"/>
      <protection locked="true" hidden="false"/>
    </xf>
    <xf numFmtId="164" fontId="7" fillId="8" borderId="1" xfId="0" applyFont="true" applyBorder="true" applyAlignment="true" applyProtection="false">
      <alignment horizontal="center" vertical="center" textRotation="0" wrapText="false" indent="0" shrinkToFit="false"/>
      <protection locked="true" hidden="false"/>
    </xf>
    <xf numFmtId="165" fontId="7"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center" vertical="center" textRotation="0" wrapText="false" indent="0" shrinkToFit="false"/>
      <protection locked="true" hidden="false"/>
    </xf>
    <xf numFmtId="164" fontId="12" fillId="9" borderId="1" xfId="0" applyFont="true" applyBorder="true" applyAlignment="true" applyProtection="false">
      <alignment horizontal="center" vertical="center" textRotation="0" wrapText="false" indent="0" shrinkToFit="false"/>
      <protection locked="true" hidden="false"/>
    </xf>
    <xf numFmtId="164" fontId="12" fillId="10" borderId="1" xfId="0" applyFont="true" applyBorder="true" applyAlignment="true" applyProtection="false">
      <alignment horizontal="center" vertical="center" textRotation="0" wrapText="false" indent="0" shrinkToFit="false"/>
      <protection locked="true" hidden="false"/>
    </xf>
    <xf numFmtId="164" fontId="7" fillId="10" borderId="1" xfId="0" applyFont="true" applyBorder="true" applyAlignment="true" applyProtection="false">
      <alignment horizontal="center" vertical="center" textRotation="0" wrapText="false" indent="0" shrinkToFit="false"/>
      <protection locked="true" hidden="false"/>
    </xf>
    <xf numFmtId="164" fontId="7" fillId="11" borderId="1" xfId="0" applyFont="true" applyBorder="true" applyAlignment="true" applyProtection="false">
      <alignment horizontal="center" vertical="center" textRotation="0" wrapText="false" indent="0" shrinkToFit="false"/>
      <protection locked="true" hidden="false"/>
    </xf>
    <xf numFmtId="164" fontId="12" fillId="12" borderId="1"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center"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5">
    <dxf>
      <fill>
        <patternFill patternType="solid">
          <fgColor rgb="FF1F3864"/>
          <bgColor rgb="FF000000"/>
        </patternFill>
      </fill>
    </dxf>
    <dxf>
      <fill>
        <patternFill patternType="solid">
          <fgColor rgb="FF808080"/>
          <bgColor rgb="FF000000"/>
        </patternFill>
      </fill>
    </dxf>
    <dxf>
      <fill>
        <patternFill patternType="solid">
          <fgColor rgb="FFD9E1F2"/>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BDD7EE"/>
          <bgColor rgb="FF000000"/>
        </patternFill>
      </fill>
    </dxf>
    <dxf>
      <fill>
        <patternFill patternType="solid">
          <fgColor rgb="FFF2F2F2"/>
          <bgColor rgb="FF000000"/>
        </patternFill>
      </fill>
    </dxf>
    <dxf>
      <fill>
        <patternFill patternType="solid">
          <fgColor rgb="FFC6EFCE"/>
          <bgColor rgb="FF000000"/>
        </patternFill>
      </fill>
    </dxf>
    <dxf>
      <fill>
        <patternFill patternType="solid">
          <fgColor rgb="FFD9D9D9"/>
          <bgColor rgb="FF000000"/>
        </patternFill>
      </fill>
    </dxf>
    <dxf>
      <fill>
        <patternFill patternType="solid">
          <fgColor rgb="FFFFEB9C"/>
          <bgColor rgb="FF000000"/>
        </patternFill>
      </fill>
    </dxf>
    <dxf>
      <fill>
        <patternFill patternType="solid">
          <fgColor rgb="FF0000FF"/>
          <bgColor rgb="FF000000"/>
        </patternFill>
      </fill>
    </dxf>
    <dxf>
      <fill>
        <patternFill patternType="solid">
          <fgColor rgb="FF595959"/>
          <bgColor rgb="FF000000"/>
        </patternFill>
      </fill>
    </dxf>
    <dxf>
      <fill>
        <patternFill patternType="solid">
          <fgColor rgb="FFEDEDED"/>
          <bgColor rgb="FF000000"/>
        </patternFill>
      </fill>
    </dxf>
    <dxf>
      <fill>
        <patternFill patternType="solid">
          <fgColor rgb="FFF8CBA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F2F2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EDEDED"/>
      <rgbColor rgb="FFC6EFCE"/>
      <rgbColor rgb="FFFFEB9C"/>
      <rgbColor rgb="FFD9D9D9"/>
      <rgbColor rgb="FFFF99CC"/>
      <rgbColor rgb="FFD9E1F2"/>
      <rgbColor rgb="FFF8CBAD"/>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G5" activeCellId="0" sqref="G:G"/>
    </sheetView>
  </sheetViews>
  <sheetFormatPr defaultColWidth="8.68359375" defaultRowHeight="15" zeroHeight="false" outlineLevelRow="0" outlineLevelCol="0"/>
  <cols>
    <col collapsed="false" customWidth="true" hidden="false" outlineLevel="0" max="1" min="1" style="1" width="5"/>
    <col collapsed="false" customWidth="true" hidden="false" outlineLevel="0" max="2" min="2" style="1" width="70"/>
    <col collapsed="false" customWidth="true" hidden="false" outlineLevel="0" max="3" min="3" style="2" width="16"/>
    <col collapsed="false" customWidth="true" hidden="false" outlineLevel="0" max="4" min="4" style="2" width="18"/>
    <col collapsed="false" customWidth="true" hidden="false" outlineLevel="0" max="5" min="5" style="2" width="11"/>
    <col collapsed="false" customWidth="true" hidden="false" outlineLevel="0" max="6" min="6" style="2" width="16"/>
    <col collapsed="false" customWidth="true" hidden="false" outlineLevel="0" max="7" min="7" style="1" width="70"/>
  </cols>
  <sheetData>
    <row r="1" customFormat="false" ht="17.25" hidden="false" customHeight="false" outlineLevel="0" collapsed="false">
      <c r="A1" s="3" t="s">
        <v>0</v>
      </c>
    </row>
    <row r="2" customFormat="false" ht="15" hidden="false" customHeight="false" outlineLevel="0" collapsed="false">
      <c r="A2" s="4" t="s">
        <v>1</v>
      </c>
    </row>
    <row r="4" customFormat="false" ht="15" hidden="false" customHeight="false" outlineLevel="0" collapsed="false">
      <c r="A4" s="5" t="s">
        <v>2</v>
      </c>
      <c r="B4" s="5" t="s">
        <v>3</v>
      </c>
      <c r="C4" s="5" t="s">
        <v>4</v>
      </c>
      <c r="D4" s="5" t="s">
        <v>5</v>
      </c>
      <c r="E4" s="5" t="s">
        <v>6</v>
      </c>
      <c r="F4" s="5" t="s">
        <v>7</v>
      </c>
      <c r="G4" s="5" t="s">
        <v>8</v>
      </c>
    </row>
    <row r="5" customFormat="false" ht="23.85" hidden="false" customHeight="false" outlineLevel="0" collapsed="false">
      <c r="A5" s="6" t="n">
        <v>1</v>
      </c>
      <c r="B5" s="6" t="s">
        <v>9</v>
      </c>
      <c r="C5" s="7" t="s">
        <v>10</v>
      </c>
      <c r="D5" s="7" t="s">
        <v>11</v>
      </c>
      <c r="E5" s="7" t="n">
        <v>0</v>
      </c>
      <c r="F5" s="8" t="s">
        <v>12</v>
      </c>
      <c r="G5" s="6" t="s">
        <v>13</v>
      </c>
    </row>
    <row r="6" customFormat="false" ht="23.85" hidden="false" customHeight="false" outlineLevel="0" collapsed="false">
      <c r="A6" s="6" t="n">
        <v>2</v>
      </c>
      <c r="B6" s="6" t="s">
        <v>14</v>
      </c>
      <c r="C6" s="7" t="s">
        <v>10</v>
      </c>
      <c r="D6" s="7" t="s">
        <v>11</v>
      </c>
      <c r="E6" s="7" t="n">
        <v>0</v>
      </c>
      <c r="F6" s="8" t="s">
        <v>12</v>
      </c>
      <c r="G6" s="6" t="s">
        <v>15</v>
      </c>
    </row>
    <row r="7" customFormat="false" ht="23.85" hidden="false" customHeight="false" outlineLevel="0" collapsed="false">
      <c r="A7" s="6" t="n">
        <v>3</v>
      </c>
      <c r="B7" s="6" t="s">
        <v>16</v>
      </c>
      <c r="C7" s="7" t="s">
        <v>10</v>
      </c>
      <c r="D7" s="7" t="s">
        <v>11</v>
      </c>
      <c r="E7" s="7" t="n">
        <v>0</v>
      </c>
      <c r="F7" s="8" t="s">
        <v>12</v>
      </c>
      <c r="G7" s="6" t="s">
        <v>17</v>
      </c>
    </row>
    <row r="8" customFormat="false" ht="46.25" hidden="false" customHeight="false" outlineLevel="0" collapsed="false">
      <c r="A8" s="7" t="s">
        <v>18</v>
      </c>
      <c r="B8" s="9" t="s">
        <v>19</v>
      </c>
      <c r="C8" s="7" t="s">
        <v>12</v>
      </c>
      <c r="D8" s="10" t="s">
        <v>11</v>
      </c>
      <c r="E8" s="11" t="s">
        <v>20</v>
      </c>
      <c r="F8" s="8" t="s">
        <v>12</v>
      </c>
      <c r="G8" s="9" t="s">
        <v>21</v>
      </c>
    </row>
    <row r="9" customFormat="false" ht="57.45" hidden="false" customHeight="false" outlineLevel="0" collapsed="false">
      <c r="A9" s="7" t="s">
        <v>22</v>
      </c>
      <c r="B9" s="9" t="s">
        <v>23</v>
      </c>
      <c r="C9" s="7" t="s">
        <v>12</v>
      </c>
      <c r="D9" s="10" t="s">
        <v>11</v>
      </c>
      <c r="E9" s="11" t="s">
        <v>24</v>
      </c>
      <c r="F9" s="8" t="s">
        <v>12</v>
      </c>
      <c r="G9" s="9" t="s">
        <v>25</v>
      </c>
    </row>
    <row r="10" customFormat="false" ht="35.05" hidden="false" customHeight="false" outlineLevel="0" collapsed="false">
      <c r="A10" s="7" t="s">
        <v>26</v>
      </c>
      <c r="B10" s="9" t="s">
        <v>27</v>
      </c>
      <c r="C10" s="7" t="s">
        <v>12</v>
      </c>
      <c r="D10" s="10" t="s">
        <v>11</v>
      </c>
      <c r="E10" s="11" t="s">
        <v>20</v>
      </c>
      <c r="F10" s="8" t="s">
        <v>12</v>
      </c>
      <c r="G10" s="9" t="s">
        <v>28</v>
      </c>
    </row>
    <row r="11" customFormat="false" ht="68.65" hidden="false" customHeight="false" outlineLevel="0" collapsed="false">
      <c r="A11" s="7" t="s">
        <v>29</v>
      </c>
      <c r="B11" s="9" t="s">
        <v>30</v>
      </c>
      <c r="C11" s="7" t="s">
        <v>31</v>
      </c>
      <c r="D11" s="10" t="s">
        <v>11</v>
      </c>
      <c r="E11" s="11" t="s">
        <v>20</v>
      </c>
      <c r="F11" s="8" t="s">
        <v>32</v>
      </c>
      <c r="G11" s="9" t="s">
        <v>33</v>
      </c>
    </row>
    <row r="12" customFormat="false" ht="23.85" hidden="false" customHeight="false" outlineLevel="0" collapsed="false">
      <c r="A12" s="7" t="n">
        <v>88</v>
      </c>
      <c r="B12" s="9" t="s">
        <v>34</v>
      </c>
      <c r="C12" s="7" t="s">
        <v>35</v>
      </c>
      <c r="D12" s="10" t="s">
        <v>11</v>
      </c>
      <c r="E12" s="11" t="s">
        <v>20</v>
      </c>
      <c r="F12" s="8" t="s">
        <v>12</v>
      </c>
      <c r="G12" s="9" t="s">
        <v>36</v>
      </c>
    </row>
    <row r="13" customFormat="false" ht="23.85" hidden="false" customHeight="false" outlineLevel="0" collapsed="false">
      <c r="A13" s="7" t="n">
        <v>89</v>
      </c>
      <c r="B13" s="9" t="s">
        <v>37</v>
      </c>
      <c r="C13" s="7" t="s">
        <v>31</v>
      </c>
      <c r="D13" s="10" t="s">
        <v>11</v>
      </c>
      <c r="E13" s="11" t="s">
        <v>20</v>
      </c>
      <c r="F13" s="8" t="s">
        <v>12</v>
      </c>
      <c r="G13" s="9" t="s">
        <v>38</v>
      </c>
    </row>
    <row r="14" customFormat="false" ht="23.85" hidden="false" customHeight="false" outlineLevel="0" collapsed="false">
      <c r="A14" s="7" t="n">
        <v>90</v>
      </c>
      <c r="B14" s="9" t="s">
        <v>39</v>
      </c>
      <c r="C14" s="7" t="s">
        <v>35</v>
      </c>
      <c r="D14" s="10" t="s">
        <v>11</v>
      </c>
      <c r="E14" s="11" t="s">
        <v>20</v>
      </c>
      <c r="F14" s="8" t="s">
        <v>12</v>
      </c>
      <c r="G14" s="9" t="s">
        <v>40</v>
      </c>
    </row>
    <row r="15" customFormat="false" ht="23.85" hidden="false" customHeight="false" outlineLevel="0" collapsed="false">
      <c r="A15" s="7" t="n">
        <v>91</v>
      </c>
      <c r="B15" s="9" t="s">
        <v>41</v>
      </c>
      <c r="C15" s="7" t="s">
        <v>35</v>
      </c>
      <c r="D15" s="10" t="s">
        <v>11</v>
      </c>
      <c r="E15" s="11" t="s">
        <v>20</v>
      </c>
      <c r="F15" s="8" t="s">
        <v>12</v>
      </c>
      <c r="G15" s="9" t="s">
        <v>42</v>
      </c>
    </row>
    <row r="16" customFormat="false" ht="79.85" hidden="false" customHeight="false" outlineLevel="0" collapsed="false">
      <c r="A16" s="7" t="n">
        <v>4</v>
      </c>
      <c r="B16" s="9" t="str">
        <f aca="false">Matrix!A68</f>
        <v>Machine profiles and setup wizard</v>
      </c>
      <c r="C16" s="7" t="str">
        <f aca="false">Matrix!C68</f>
        <v>Partial</v>
      </c>
      <c r="D16" s="10" t="n">
        <f aca="false">COUNTIF(Matrix!D68:K68,"Yes")+0.5*COUNTIF(Matrix!D68:K68,"Partial")</f>
        <v>7</v>
      </c>
      <c r="E16" s="11" t="s">
        <v>43</v>
      </c>
      <c r="F16" s="8" t="s">
        <v>12</v>
      </c>
      <c r="G16" s="9" t="s">
        <v>44</v>
      </c>
    </row>
    <row r="17" customFormat="false" ht="35.05" hidden="false" customHeight="false" outlineLevel="0" collapsed="false">
      <c r="A17" s="7" t="n">
        <v>5</v>
      </c>
      <c r="B17" s="9" t="str">
        <f aca="false">Matrix!A66</f>
        <v>Post-processor library</v>
      </c>
      <c r="C17" s="7" t="str">
        <f aca="false">Matrix!C66</f>
        <v>Partial</v>
      </c>
      <c r="D17" s="10" t="n">
        <f aca="false">COUNTIF(Matrix!D66:K66,"Yes")+0.5*COUNTIF(Matrix!D66:K66,"Partial")</f>
        <v>7</v>
      </c>
      <c r="E17" s="11" t="s">
        <v>45</v>
      </c>
      <c r="F17" s="8" t="s">
        <v>12</v>
      </c>
      <c r="G17" s="9" t="s">
        <v>46</v>
      </c>
    </row>
    <row r="18" customFormat="false" ht="35.05" hidden="false" customHeight="false" outlineLevel="0" collapsed="false">
      <c r="A18" s="7" t="n">
        <v>6</v>
      </c>
      <c r="B18" s="9" t="str">
        <f aca="false">Matrix!A55</f>
        <v>3D roughing and finishing of a model</v>
      </c>
      <c r="C18" s="7" t="str">
        <f aca="false">Matrix!C55</f>
        <v>Planned</v>
      </c>
      <c r="D18" s="10" t="n">
        <f aca="false">COUNTIF(Matrix!D55:K55,"Yes")+0.5*COUNTIF(Matrix!D55:K55,"Partial")</f>
        <v>6</v>
      </c>
      <c r="E18" s="11" t="s">
        <v>45</v>
      </c>
      <c r="F18" s="8" t="s">
        <v>32</v>
      </c>
      <c r="G18" s="9" t="s">
        <v>47</v>
      </c>
    </row>
    <row r="19" customFormat="false" ht="23.85" hidden="false" customHeight="false" outlineLevel="0" collapsed="false">
      <c r="A19" s="7" t="n">
        <v>7</v>
      </c>
      <c r="B19" s="9" t="str">
        <f aca="false">Matrix!A10</f>
        <v>Node editing and Bezier curves</v>
      </c>
      <c r="C19" s="7" t="str">
        <f aca="false">Matrix!C10</f>
        <v>Partial</v>
      </c>
      <c r="D19" s="10" t="n">
        <f aca="false">COUNTIF(Matrix!D10:K10,"Yes")+0.5*COUNTIF(Matrix!D10:K10,"Partial")</f>
        <v>6</v>
      </c>
      <c r="E19" s="11" t="s">
        <v>45</v>
      </c>
      <c r="F19" s="8" t="s">
        <v>12</v>
      </c>
      <c r="G19" s="9" t="s">
        <v>48</v>
      </c>
    </row>
    <row r="20" customFormat="false" ht="15" hidden="false" customHeight="false" outlineLevel="0" collapsed="false">
      <c r="A20" s="7" t="n">
        <v>8</v>
      </c>
      <c r="B20" s="9" t="str">
        <f aca="false">Matrix!A27</f>
        <v>STL, OBJ and 3MF mesh import</v>
      </c>
      <c r="C20" s="7" t="str">
        <f aca="false">Matrix!C27</f>
        <v>Partial</v>
      </c>
      <c r="D20" s="10" t="n">
        <f aca="false">COUNTIF(Matrix!D27:K27,"Yes")+0.5*COUNTIF(Matrix!D27:K27,"Partial")</f>
        <v>6</v>
      </c>
      <c r="E20" s="11" t="s">
        <v>45</v>
      </c>
      <c r="F20" s="8" t="s">
        <v>32</v>
      </c>
      <c r="G20" s="9" t="s">
        <v>49</v>
      </c>
    </row>
    <row r="21" customFormat="false" ht="23.85" hidden="false" customHeight="false" outlineLevel="0" collapsed="false">
      <c r="A21" s="7" t="n">
        <v>9</v>
      </c>
      <c r="B21" s="9" t="str">
        <f aca="false">Matrix!A43</f>
        <v>Pocket extras: raster clearing, wall finish, fewer retracts</v>
      </c>
      <c r="C21" s="7" t="str">
        <f aca="false">Matrix!C43</f>
        <v>Planned</v>
      </c>
      <c r="D21" s="10" t="n">
        <f aca="false">COUNTIF(Matrix!D43:K43,"Yes")+0.5*COUNTIF(Matrix!D43:K43,"Partial")</f>
        <v>5.5</v>
      </c>
      <c r="E21" s="11" t="s">
        <v>45</v>
      </c>
      <c r="F21" s="8" t="s">
        <v>12</v>
      </c>
      <c r="G21" s="9" t="s">
        <v>50</v>
      </c>
    </row>
    <row r="22" customFormat="false" ht="15" hidden="false" customHeight="false" outlineLevel="0" collapsed="false">
      <c r="A22" s="7" t="n">
        <v>10</v>
      </c>
      <c r="B22" s="9" t="str">
        <f aca="false">Matrix!A35</f>
        <v>Rotary (4th axis) wrapping</v>
      </c>
      <c r="C22" s="7" t="str">
        <f aca="false">Matrix!C35</f>
        <v>Planned</v>
      </c>
      <c r="D22" s="10" t="n">
        <f aca="false">COUNTIF(Matrix!D35:K35,"Yes")+0.5*COUNTIF(Matrix!D35:K35,"Partial")</f>
        <v>4.5</v>
      </c>
      <c r="E22" s="11" t="s">
        <v>45</v>
      </c>
      <c r="F22" s="8" t="s">
        <v>32</v>
      </c>
      <c r="G22" s="9" t="s">
        <v>51</v>
      </c>
    </row>
    <row r="23" customFormat="false" ht="35.05" hidden="false" customHeight="false" outlineLevel="0" collapsed="false">
      <c r="A23" s="7" t="n">
        <v>11</v>
      </c>
      <c r="B23" s="9" t="str">
        <f aca="false">Matrix!A33</f>
        <v>Several sheets or setups in one job</v>
      </c>
      <c r="C23" s="7" t="str">
        <f aca="false">Matrix!C33</f>
        <v>Planned</v>
      </c>
      <c r="D23" s="10" t="n">
        <f aca="false">COUNTIF(Matrix!D33:K33,"Yes")+0.5*COUNTIF(Matrix!D33:K33,"Partial")</f>
        <v>5</v>
      </c>
      <c r="E23" s="11" t="s">
        <v>45</v>
      </c>
      <c r="F23" s="8" t="s">
        <v>12</v>
      </c>
      <c r="G23" s="9" t="s">
        <v>52</v>
      </c>
    </row>
    <row r="24" customFormat="false" ht="35.05" hidden="false" customHeight="false" outlineLevel="0" collapsed="false">
      <c r="A24" s="7" t="n">
        <v>12</v>
      </c>
      <c r="B24" s="9" t="str">
        <f aca="false">Matrix!A51</f>
        <v>Chamfer and countersink toolpaths</v>
      </c>
      <c r="C24" s="7" t="str">
        <f aca="false">Matrix!C51</f>
        <v>Planned</v>
      </c>
      <c r="D24" s="10" t="n">
        <f aca="false">COUNTIF(Matrix!D51:K51,"Yes")+0.5*COUNTIF(Matrix!D51:K51,"Partial")</f>
        <v>5</v>
      </c>
      <c r="E24" s="11" t="s">
        <v>53</v>
      </c>
      <c r="F24" s="8" t="s">
        <v>12</v>
      </c>
      <c r="G24" s="9" t="s">
        <v>54</v>
      </c>
    </row>
    <row r="25" customFormat="false" ht="23.85" hidden="false" customHeight="false" outlineLevel="0" collapsed="false">
      <c r="A25" s="7" t="n">
        <v>13</v>
      </c>
      <c r="B25" s="9" t="str">
        <f aca="false">Matrix!A45</f>
        <v>Thread milling</v>
      </c>
      <c r="C25" s="7" t="str">
        <f aca="false">Matrix!C45</f>
        <v>Planned</v>
      </c>
      <c r="D25" s="10" t="n">
        <f aca="false">COUNTIF(Matrix!D45:K45,"Yes")+0.5*COUNTIF(Matrix!D45:K45,"Partial")</f>
        <v>5</v>
      </c>
      <c r="E25" s="11" t="s">
        <v>53</v>
      </c>
      <c r="F25" s="8" t="s">
        <v>12</v>
      </c>
      <c r="G25" s="9" t="s">
        <v>55</v>
      </c>
    </row>
    <row r="26" customFormat="false" ht="23.85" hidden="false" customHeight="false" outlineLevel="0" collapsed="false">
      <c r="A26" s="7" t="n">
        <v>14</v>
      </c>
      <c r="B26" s="9" t="str">
        <f aca="false">Matrix!A20</f>
        <v>Image tracing to vectors (form and button done; wasm picture picker still to do)</v>
      </c>
      <c r="C26" s="7" t="str">
        <f aca="false">Matrix!C20</f>
        <v>Done</v>
      </c>
      <c r="D26" s="10" t="n">
        <f aca="false">COUNTIF(Matrix!D20:K20,"Yes")+0.5*COUNTIF(Matrix!D20:K20,"Partial")</f>
        <v>5.5</v>
      </c>
      <c r="E26" s="11" t="s">
        <v>45</v>
      </c>
      <c r="F26" s="8" t="s">
        <v>12</v>
      </c>
      <c r="G26" s="9" t="s">
        <v>56</v>
      </c>
    </row>
    <row r="27" customFormat="false" ht="35.05" hidden="false" customHeight="false" outlineLevel="0" collapsed="false">
      <c r="A27" s="7" t="n">
        <v>15</v>
      </c>
      <c r="B27" s="9" t="str">
        <f aca="false">Matrix!A34</f>
        <v>Two-sided jobs with a flip</v>
      </c>
      <c r="C27" s="7" t="str">
        <f aca="false">Matrix!C34</f>
        <v>Partial</v>
      </c>
      <c r="D27" s="10" t="n">
        <f aca="false">COUNTIF(Matrix!D34:K34,"Yes")+0.5*COUNTIF(Matrix!D34:K34,"Partial")</f>
        <v>4.5</v>
      </c>
      <c r="E27" s="11" t="s">
        <v>45</v>
      </c>
      <c r="F27" s="8" t="s">
        <v>12</v>
      </c>
      <c r="G27" s="9" t="s">
        <v>57</v>
      </c>
    </row>
    <row r="28" customFormat="false" ht="15" hidden="false" customHeight="false" outlineLevel="0" collapsed="false">
      <c r="A28" s="7" t="n">
        <v>16</v>
      </c>
      <c r="B28" s="9" t="str">
        <f aca="false">Matrix!A74</f>
        <v>Toolpath templates, merged toolpaths, setup sheets</v>
      </c>
      <c r="C28" s="7" t="str">
        <f aca="false">Matrix!C74</f>
        <v>Planned</v>
      </c>
      <c r="D28" s="10" t="n">
        <f aca="false">COUNTIF(Matrix!D74:K74,"Yes")+0.5*COUNTIF(Matrix!D74:K74,"Partial")</f>
        <v>4.5</v>
      </c>
      <c r="E28" s="11" t="s">
        <v>53</v>
      </c>
      <c r="F28" s="8" t="s">
        <v>32</v>
      </c>
      <c r="G28" s="9" t="s">
        <v>58</v>
      </c>
    </row>
    <row r="29" customFormat="false" ht="15" hidden="false" customHeight="false" outlineLevel="0" collapsed="false">
      <c r="A29" s="7" t="n">
        <v>17</v>
      </c>
      <c r="B29" s="9" t="str">
        <f aca="false">Matrix!A52</f>
        <v>True-shape nesting</v>
      </c>
      <c r="C29" s="7" t="str">
        <f aca="false">Matrix!C52</f>
        <v>Planned</v>
      </c>
      <c r="D29" s="10" t="n">
        <f aca="false">COUNTIF(Matrix!D52:K52,"Yes")+0.5*COUNTIF(Matrix!D52:K52,"Partial")</f>
        <v>4.5</v>
      </c>
      <c r="E29" s="11" t="s">
        <v>53</v>
      </c>
      <c r="F29" s="8" t="s">
        <v>12</v>
      </c>
      <c r="G29" s="9" t="s">
        <v>59</v>
      </c>
    </row>
    <row r="30" customFormat="false" ht="23.85" hidden="false" customHeight="false" outlineLevel="0" collapsed="false">
      <c r="A30" s="7" t="n">
        <v>18</v>
      </c>
      <c r="B30" s="9" t="str">
        <f aca="false">Matrix!A48</f>
        <v>V-carve flat bottom with a second tool</v>
      </c>
      <c r="C30" s="7" t="str">
        <f aca="false">Matrix!C48</f>
        <v>Partial</v>
      </c>
      <c r="D30" s="10" t="n">
        <f aca="false">COUNTIF(Matrix!D48:K48,"Yes")+0.5*COUNTIF(Matrix!D48:K48,"Partial")</f>
        <v>3.5</v>
      </c>
      <c r="E30" s="11" t="s">
        <v>45</v>
      </c>
      <c r="F30" s="8" t="s">
        <v>32</v>
      </c>
      <c r="G30" s="9" t="s">
        <v>60</v>
      </c>
    </row>
    <row r="31" customFormat="false" ht="15" hidden="false" customHeight="false" outlineLevel="0" collapsed="false">
      <c r="A31" s="7" t="n">
        <v>19</v>
      </c>
      <c r="B31" s="9" t="str">
        <f aca="false">Matrix!A49</f>
        <v>Inlay (plug and pocket that fit)</v>
      </c>
      <c r="C31" s="7" t="str">
        <f aca="false">Matrix!C49</f>
        <v>Planned</v>
      </c>
      <c r="D31" s="10" t="n">
        <f aca="false">COUNTIF(Matrix!D49:K49,"Yes")+0.5*COUNTIF(Matrix!D49:K49,"Partial")</f>
        <v>3.5</v>
      </c>
      <c r="E31" s="11" t="s">
        <v>53</v>
      </c>
      <c r="F31" s="8" t="s">
        <v>35</v>
      </c>
      <c r="G31" s="9"/>
    </row>
    <row r="32" customFormat="false" ht="15" hidden="false" customHeight="false" outlineLevel="0" collapsed="false">
      <c r="A32" s="7" t="n">
        <v>20</v>
      </c>
      <c r="B32" s="9" t="str">
        <f aca="false">Matrix!A28</f>
        <v>STEP and IGES import</v>
      </c>
      <c r="C32" s="7" t="str">
        <f aca="false">Matrix!C28</f>
        <v>Planned</v>
      </c>
      <c r="D32" s="10" t="n">
        <f aca="false">COUNTIF(Matrix!D28:K28,"Yes")+0.5*COUNTIF(Matrix!D28:K28,"Partial")</f>
        <v>3</v>
      </c>
      <c r="E32" s="11" t="s">
        <v>61</v>
      </c>
      <c r="F32" s="8" t="s">
        <v>35</v>
      </c>
      <c r="G32" s="9"/>
    </row>
    <row r="33" customFormat="false" ht="35.05" hidden="false" customHeight="false" outlineLevel="0" collapsed="false">
      <c r="A33" s="7" t="n">
        <v>21</v>
      </c>
      <c r="B33" s="9" t="str">
        <f aca="false">Matrix!A21</f>
        <v>Bitmap tools: brightness, contrast, crop</v>
      </c>
      <c r="C33" s="7" t="str">
        <f aca="false">Matrix!C21</f>
        <v>Partial</v>
      </c>
      <c r="D33" s="10" t="n">
        <f aca="false">COUNTIF(Matrix!D21:K21,"Yes")+0.5*COUNTIF(Matrix!D21:K21,"Partial")</f>
        <v>2.5</v>
      </c>
      <c r="E33" s="11" t="s">
        <v>45</v>
      </c>
      <c r="F33" s="8" t="s">
        <v>12</v>
      </c>
      <c r="G33" s="9" t="s">
        <v>62</v>
      </c>
    </row>
    <row r="34" customFormat="false" ht="57.45" hidden="false" customHeight="false" outlineLevel="0" collapsed="false">
      <c r="A34" s="7" t="n">
        <v>22</v>
      </c>
      <c r="B34" s="9" t="str">
        <f aca="false">Matrix!A26</f>
        <v>EPS, AI and PDF import</v>
      </c>
      <c r="C34" s="7" t="str">
        <f aca="false">Matrix!C26</f>
        <v>Planned</v>
      </c>
      <c r="D34" s="10" t="n">
        <f aca="false">COUNTIF(Matrix!D26:K26,"Yes")+0.5*COUNTIF(Matrix!D26:K26,"Partial")</f>
        <v>2.5</v>
      </c>
      <c r="E34" s="11" t="s">
        <v>45</v>
      </c>
      <c r="F34" s="8" t="s">
        <v>12</v>
      </c>
      <c r="G34" s="9" t="s">
        <v>63</v>
      </c>
    </row>
    <row r="35" customFormat="false" ht="46.25" hidden="false" customHeight="false" outlineLevel="0" collapsed="false">
      <c r="A35" s="7" t="n">
        <v>23</v>
      </c>
      <c r="B35" s="9" t="str">
        <f aca="false">Matrix!A69</f>
        <v>Send to the machine from inside the program</v>
      </c>
      <c r="C35" s="7" t="str">
        <f aca="false">Matrix!C69</f>
        <v>Partial</v>
      </c>
      <c r="D35" s="10" t="n">
        <f aca="false">COUNTIF(Matrix!D69:K69,"Yes")+0.5*COUNTIF(Matrix!D69:K69,"Partial")</f>
        <v>2.5</v>
      </c>
      <c r="E35" s="11" t="s">
        <v>45</v>
      </c>
      <c r="F35" s="8" t="s">
        <v>64</v>
      </c>
      <c r="G35" s="9" t="s">
        <v>65</v>
      </c>
    </row>
    <row r="36" customFormat="false" ht="15" hidden="false" customHeight="false" outlineLevel="0" collapsed="false">
      <c r="A36" s="7" t="n">
        <v>24</v>
      </c>
      <c r="B36" s="9" t="str">
        <f aca="false">Matrix!A76</f>
        <v>Cabinet workflow: labels, drill banks, cabinet import</v>
      </c>
      <c r="C36" s="7" t="str">
        <f aca="false">Matrix!C76</f>
        <v>Planned</v>
      </c>
      <c r="D36" s="10" t="n">
        <f aca="false">COUNTIF(Matrix!D76:K76,"Yes")+0.5*COUNTIF(Matrix!D76:K76,"Partial")</f>
        <v>2.5</v>
      </c>
      <c r="E36" s="11" t="s">
        <v>53</v>
      </c>
      <c r="F36" s="8" t="s">
        <v>35</v>
      </c>
      <c r="G36" s="9"/>
    </row>
    <row r="37" customFormat="false" ht="15" hidden="false" customHeight="false" outlineLevel="0" collapsed="false">
      <c r="A37" s="7" t="n">
        <v>25</v>
      </c>
      <c r="B37" s="9" t="str">
        <f aca="false">Matrix!A19</f>
        <v>Text on a curve, kerning, spell check</v>
      </c>
      <c r="C37" s="7" t="str">
        <f aca="false">Matrix!C19</f>
        <v>Partial</v>
      </c>
      <c r="D37" s="10" t="n">
        <f aca="false">COUNTIF(Matrix!D19:K19,"Yes")+0.5*COUNTIF(Matrix!D19:K19,"Partial")</f>
        <v>2</v>
      </c>
      <c r="E37" s="11" t="s">
        <v>45</v>
      </c>
      <c r="F37" s="8" t="s">
        <v>32</v>
      </c>
      <c r="G37" s="9" t="s">
        <v>66</v>
      </c>
    </row>
    <row r="38" customFormat="false" ht="23.85" hidden="false" customHeight="false" outlineLevel="0" collapsed="false">
      <c r="A38" s="7" t="n">
        <v>45</v>
      </c>
      <c r="B38" s="9" t="str">
        <f aca="false">Matrix!A89</f>
        <v>Multi-tool rest clearing</v>
      </c>
      <c r="C38" s="7" t="str">
        <f aca="false">Matrix!C89</f>
        <v>Planned</v>
      </c>
      <c r="D38" s="10" t="n">
        <f aca="false">COUNTIF(Matrix!D89:K89,"Yes")+0.5*COUNTIF(Matrix!D89:K89,"Partial")</f>
        <v>2</v>
      </c>
      <c r="E38" s="11" t="s">
        <v>67</v>
      </c>
      <c r="F38" s="8" t="s">
        <v>12</v>
      </c>
      <c r="G38" s="9" t="s">
        <v>68</v>
      </c>
    </row>
    <row r="39" customFormat="false" ht="15" hidden="false" customHeight="false" outlineLevel="0" collapsed="false">
      <c r="A39" s="7" t="n">
        <v>26</v>
      </c>
      <c r="B39" s="9" t="str">
        <f aca="false">Matrix!A50</f>
        <v>Fluting, texture, raised prism, moulding</v>
      </c>
      <c r="C39" s="7" t="str">
        <f aca="false">Matrix!C50</f>
        <v>Planned</v>
      </c>
      <c r="D39" s="10" t="n">
        <f aca="false">COUNTIF(Matrix!D50:K50,"Yes")+0.5*COUNTIF(Matrix!D50:K50,"Partial")</f>
        <v>2</v>
      </c>
      <c r="E39" s="11" t="s">
        <v>53</v>
      </c>
      <c r="F39" s="8" t="s">
        <v>35</v>
      </c>
      <c r="G39" s="9"/>
    </row>
    <row r="40" customFormat="false" ht="15" hidden="false" customHeight="false" outlineLevel="0" collapsed="false">
      <c r="A40" s="7" t="n">
        <v>27</v>
      </c>
      <c r="B40" s="9" t="str">
        <f aca="false">Matrix!A75</f>
        <v>Laser output and hybrid CNC/laser jobs</v>
      </c>
      <c r="C40" s="7" t="str">
        <f aca="false">Matrix!C75</f>
        <v>Planned</v>
      </c>
      <c r="D40" s="10" t="n">
        <f aca="false">COUNTIF(Matrix!D75:K75,"Yes")+0.5*COUNTIF(Matrix!D75:K75,"Partial")</f>
        <v>1.5</v>
      </c>
      <c r="E40" s="11" t="s">
        <v>61</v>
      </c>
      <c r="F40" s="8" t="s">
        <v>35</v>
      </c>
      <c r="G40" s="9"/>
    </row>
    <row r="41" customFormat="false" ht="15" hidden="false" customHeight="false" outlineLevel="0" collapsed="false">
      <c r="A41" s="7" t="n">
        <v>28</v>
      </c>
      <c r="B41" s="9" t="str">
        <f aca="false">Matrix!A56</f>
        <v>Relief modelling: components, shapes, sculpting (Aspire)</v>
      </c>
      <c r="C41" s="7" t="str">
        <f aca="false">Matrix!C56</f>
        <v>Planned</v>
      </c>
      <c r="D41" s="10" t="n">
        <f aca="false">COUNTIF(Matrix!D56:K56,"Yes")+0.5*COUNTIF(Matrix!D56:K56,"Partial")</f>
        <v>1.5</v>
      </c>
      <c r="E41" s="11" t="s">
        <v>69</v>
      </c>
      <c r="F41" s="8" t="s">
        <v>35</v>
      </c>
      <c r="G41" s="9"/>
    </row>
    <row r="42" customFormat="false" ht="15" hidden="false" customHeight="false" outlineLevel="0" collapsed="false">
      <c r="A42" s="7" t="n">
        <v>29</v>
      </c>
      <c r="B42" s="9" t="str">
        <f aca="false">Matrix!A57</f>
        <v>Lithophane and photo carving</v>
      </c>
      <c r="C42" s="7" t="str">
        <f aca="false">Matrix!C57</f>
        <v>Partial</v>
      </c>
      <c r="D42" s="10" t="n">
        <f aca="false">COUNTIF(Matrix!D57:K57,"Yes")+0.5*COUNTIF(Matrix!D57:K57,"Partial")</f>
        <v>1</v>
      </c>
      <c r="E42" s="11" t="s">
        <v>69</v>
      </c>
      <c r="F42" s="8" t="s">
        <v>35</v>
      </c>
      <c r="G42" s="9"/>
    </row>
    <row r="43" customFormat="false" ht="35.05" hidden="false" customHeight="false" outlineLevel="0" collapsed="false">
      <c r="A43" s="7" t="n">
        <v>30</v>
      </c>
      <c r="B43" s="9" t="str">
        <f aca="false">Matrix!A116</f>
        <v>2D/3D view tabs; 3D view with live simulation, orbit and scrubbing</v>
      </c>
      <c r="C43" s="7" t="str">
        <f aca="false">Matrix!C116</f>
        <v>Planned</v>
      </c>
      <c r="D43" s="10" t="n">
        <f aca="false">COUNTIF(Matrix!D116:K116,"Yes")+0.5*COUNTIF(Matrix!D116:K116,"Partial")</f>
        <v>0</v>
      </c>
      <c r="E43" s="11" t="s">
        <v>70</v>
      </c>
      <c r="F43" s="8" t="s">
        <v>35</v>
      </c>
      <c r="G43" s="9" t="s">
        <v>71</v>
      </c>
    </row>
    <row r="44" customFormat="false" ht="15" hidden="false" customHeight="false" outlineLevel="0" collapsed="false">
      <c r="A44" s="7" t="n">
        <v>31</v>
      </c>
      <c r="B44" s="9" t="str">
        <f aca="false">Matrix!A80</f>
        <v>Crash and event log file, so an unexpected quit can be traced without terminal output</v>
      </c>
      <c r="C44" s="7" t="str">
        <f aca="false">Matrix!C80</f>
        <v>Planned</v>
      </c>
      <c r="D44" s="10" t="n">
        <f aca="false">COUNTIF(Matrix!D80:K80,"Yes")+0.5*COUNTIF(Matrix!D80:K80,"Partial")</f>
        <v>0</v>
      </c>
      <c r="E44" s="11" t="s">
        <v>70</v>
      </c>
      <c r="F44" s="8" t="s">
        <v>35</v>
      </c>
      <c r="G44" s="9" t="s">
        <v>72</v>
      </c>
    </row>
    <row r="45" customFormat="false" ht="15" hidden="false" customHeight="false" outlineLevel="0" collapsed="false">
      <c r="A45" s="7" t="n">
        <v>32</v>
      </c>
      <c r="B45" s="9" t="str">
        <f aca="false">Matrix!A79</f>
        <v>Measure real move times and set the acceleration default</v>
      </c>
      <c r="C45" s="7" t="str">
        <f aca="false">Matrix!C79</f>
        <v>Planned</v>
      </c>
      <c r="D45" s="10" t="n">
        <f aca="false">COUNTIF(Matrix!D79:K79,"Yes")+0.5*COUNTIF(Matrix!D79:K79,"Partial")</f>
        <v>0</v>
      </c>
      <c r="E45" s="11" t="s">
        <v>70</v>
      </c>
      <c r="F45" s="8" t="s">
        <v>35</v>
      </c>
      <c r="G45" s="9" t="s">
        <v>72</v>
      </c>
    </row>
    <row r="46" customFormat="false" ht="15" hidden="false" customHeight="false" outlineLevel="0" collapsed="false">
      <c r="A46" s="7" t="n">
        <v>33</v>
      </c>
      <c r="B46" s="9" t="str">
        <f aca="false">Matrix!A109</f>
        <v>Any number of 3D models per job; orient and segment them</v>
      </c>
      <c r="C46" s="7" t="str">
        <f aca="false">Matrix!C109</f>
        <v>Planned</v>
      </c>
      <c r="D46" s="10" t="n">
        <f aca="false">COUNTIF(Matrix!D109:K109,"Yes")+0.5*COUNTIF(Matrix!D109:K109,"Partial")</f>
        <v>0</v>
      </c>
      <c r="E46" s="11" t="s">
        <v>73</v>
      </c>
      <c r="F46" s="8" t="s">
        <v>35</v>
      </c>
      <c r="G46" s="9" t="s">
        <v>72</v>
      </c>
    </row>
    <row r="47" customFormat="false" ht="23.85" hidden="false" customHeight="false" outlineLevel="0" collapsed="false">
      <c r="A47" s="7" t="n">
        <v>34</v>
      </c>
      <c r="B47" s="9" t="str">
        <f aca="false">Matrix!A84</f>
        <v>Approval gate: a human releases the G-code file</v>
      </c>
      <c r="C47" s="7" t="str">
        <f aca="false">Matrix!C84</f>
        <v>Done</v>
      </c>
      <c r="D47" s="10" t="n">
        <f aca="false">COUNTIF(Matrix!D84:K84,"Yes")+0.5*COUNTIF(Matrix!D84:K84,"Partial")</f>
        <v>0</v>
      </c>
      <c r="E47" s="11" t="s">
        <v>74</v>
      </c>
      <c r="F47" s="8" t="s">
        <v>12</v>
      </c>
      <c r="G47" s="9" t="s">
        <v>75</v>
      </c>
    </row>
    <row r="48" customFormat="false" ht="15" hidden="false" customHeight="false" outlineLevel="0" collapsed="false">
      <c r="A48" s="7" t="n">
        <v>35</v>
      </c>
      <c r="B48" s="9" t="str">
        <f aca="false">Matrix!A90</f>
        <v>Auto-inlay</v>
      </c>
      <c r="C48" s="7" t="str">
        <f aca="false">Matrix!C90</f>
        <v>Planned</v>
      </c>
      <c r="D48" s="10" t="n">
        <f aca="false">COUNTIF(Matrix!D90:K90,"Yes")+0.5*COUNTIF(Matrix!D90:K90,"Partial")</f>
        <v>0</v>
      </c>
      <c r="E48" s="11" t="s">
        <v>67</v>
      </c>
      <c r="F48" s="8" t="s">
        <v>35</v>
      </c>
      <c r="G48" s="9" t="s">
        <v>72</v>
      </c>
    </row>
    <row r="49" customFormat="false" ht="15" hidden="false" customHeight="false" outlineLevel="0" collapsed="false">
      <c r="A49" s="7" t="n">
        <v>36</v>
      </c>
      <c r="B49" s="9" t="str">
        <f aca="false">Matrix!A118</f>
        <v>Choose which toolpaths to simulate; show the picture in the app</v>
      </c>
      <c r="C49" s="7" t="str">
        <f aca="false">Matrix!C118</f>
        <v>Planned</v>
      </c>
      <c r="D49" s="10" t="n">
        <f aca="false">COUNTIF(Matrix!D118:K118,"Yes")+0.5*COUNTIF(Matrix!D118:K118,"Partial")</f>
        <v>0</v>
      </c>
      <c r="E49" s="11" t="s">
        <v>76</v>
      </c>
      <c r="F49" s="8" t="s">
        <v>35</v>
      </c>
      <c r="G49" s="9" t="s">
        <v>72</v>
      </c>
    </row>
    <row r="50" customFormat="false" ht="15" hidden="false" customHeight="false" outlineLevel="0" collapsed="false">
      <c r="A50" s="7" t="n">
        <v>37</v>
      </c>
      <c r="B50" s="9" t="str">
        <f aca="false">Matrix!A110</f>
        <v>Clipart browser and starter library</v>
      </c>
      <c r="C50" s="7" t="str">
        <f aca="false">Matrix!C110</f>
        <v>Planned</v>
      </c>
      <c r="D50" s="10" t="n">
        <f aca="false">COUNTIF(Matrix!D110:K110,"Yes")+0.5*COUNTIF(Matrix!D110:K110,"Partial")</f>
        <v>0</v>
      </c>
      <c r="E50" s="11" t="s">
        <v>76</v>
      </c>
      <c r="F50" s="8" t="s">
        <v>35</v>
      </c>
      <c r="G50" s="9" t="s">
        <v>72</v>
      </c>
    </row>
    <row r="51" customFormat="false" ht="15" hidden="false" customHeight="false" outlineLevel="0" collapsed="false">
      <c r="A51" s="7" t="n">
        <v>38</v>
      </c>
      <c r="B51" s="9" t="str">
        <f aca="false">Matrix!A107</f>
        <v>Close and join an outline from the drawing UI</v>
      </c>
      <c r="C51" s="7" t="str">
        <f aca="false">Matrix!C107</f>
        <v>Planned</v>
      </c>
      <c r="D51" s="10" t="n">
        <f aca="false">COUNTIF(Matrix!D107:K107,"Yes")+0.5*COUNTIF(Matrix!D107:K107,"Partial")</f>
        <v>0</v>
      </c>
      <c r="E51" s="11" t="s">
        <v>77</v>
      </c>
      <c r="F51" s="8" t="s">
        <v>35</v>
      </c>
      <c r="G51" s="9" t="s">
        <v>72</v>
      </c>
    </row>
    <row r="52" customFormat="false" ht="15" hidden="false" customHeight="false" outlineLevel="0" collapsed="false">
      <c r="A52" s="7" t="n">
        <v>39</v>
      </c>
      <c r="B52" s="9" t="str">
        <f aca="false">Matrix!A105</f>
        <v>Distort and rotated-bounds transforms</v>
      </c>
      <c r="C52" s="7" t="str">
        <f aca="false">Matrix!C105</f>
        <v>Planned</v>
      </c>
      <c r="D52" s="10" t="n">
        <f aca="false">COUNTIF(Matrix!D105:K105,"Yes")+0.5*COUNTIF(Matrix!D105:K105,"Partial")</f>
        <v>0</v>
      </c>
      <c r="E52" s="11" t="s">
        <v>77</v>
      </c>
      <c r="F52" s="8" t="s">
        <v>35</v>
      </c>
      <c r="G52" s="9" t="s">
        <v>72</v>
      </c>
    </row>
    <row r="53" customFormat="false" ht="15" hidden="false" customHeight="false" outlineLevel="0" collapsed="false">
      <c r="A53" s="7" t="n">
        <v>40</v>
      </c>
      <c r="B53" s="9" t="str">
        <f aca="false">Matrix!A108</f>
        <v>EPS and AI export</v>
      </c>
      <c r="C53" s="7" t="str">
        <f aca="false">Matrix!C108</f>
        <v>Planned</v>
      </c>
      <c r="D53" s="10" t="n">
        <f aca="false">COUNTIF(Matrix!D108:K108,"Yes")+0.5*COUNTIF(Matrix!D108:K108,"Partial")</f>
        <v>0</v>
      </c>
      <c r="E53" s="11" t="s">
        <v>78</v>
      </c>
      <c r="F53" s="8" t="s">
        <v>35</v>
      </c>
      <c r="G53" s="9" t="s">
        <v>72</v>
      </c>
    </row>
    <row r="54" customFormat="false" ht="15" hidden="false" customHeight="false" outlineLevel="0" collapsed="false">
      <c r="A54" s="7" t="n">
        <v>41</v>
      </c>
      <c r="B54" s="9" t="str">
        <f aca="false">Matrix!A83</f>
        <v>End-to-end test of a whole job through MCP and the scripted CLI</v>
      </c>
      <c r="C54" s="7" t="str">
        <f aca="false">Matrix!C83</f>
        <v>Planned</v>
      </c>
      <c r="D54" s="10" t="n">
        <f aca="false">COUNTIF(Matrix!D83:K83,"Yes")+0.5*COUNTIF(Matrix!D83:K83,"Partial")</f>
        <v>0</v>
      </c>
      <c r="E54" s="11" t="s">
        <v>74</v>
      </c>
      <c r="F54" s="8" t="s">
        <v>35</v>
      </c>
      <c r="G54" s="9" t="s">
        <v>72</v>
      </c>
    </row>
    <row r="55" customFormat="false" ht="15" hidden="false" customHeight="false" outlineLevel="0" collapsed="false">
      <c r="A55" s="7" t="n">
        <v>42</v>
      </c>
      <c r="B55" s="9" t="str">
        <f aca="false">Matrix!A81</f>
        <v>Exact (non-sampled) gouge check</v>
      </c>
      <c r="C55" s="7" t="str">
        <f aca="false">Matrix!C81</f>
        <v>Planned</v>
      </c>
      <c r="D55" s="10" t="n">
        <f aca="false">COUNTIF(Matrix!D81:K81,"Yes")+0.5*COUNTIF(Matrix!D81:K81,"Partial")</f>
        <v>0</v>
      </c>
      <c r="E55" s="11" t="s">
        <v>45</v>
      </c>
      <c r="F55" s="8" t="s">
        <v>35</v>
      </c>
      <c r="G55" s="9" t="s">
        <v>72</v>
      </c>
    </row>
    <row r="56" customFormat="false" ht="57.45" hidden="false" customHeight="false" outlineLevel="0" collapsed="false">
      <c r="A56" s="7" t="n">
        <v>43</v>
      </c>
      <c r="B56" s="9" t="str">
        <f aca="false">Matrix!A82</f>
        <v>G-code parser for golden tests (every post lifts Z before XY)</v>
      </c>
      <c r="C56" s="7" t="str">
        <f aca="false">Matrix!C82</f>
        <v>Planned</v>
      </c>
      <c r="D56" s="10" t="n">
        <f aca="false">COUNTIF(Matrix!D82:K82,"Yes")+0.5*COUNTIF(Matrix!D82:K82,"Partial")</f>
        <v>0</v>
      </c>
      <c r="E56" s="11" t="s">
        <v>45</v>
      </c>
      <c r="F56" s="8" t="s">
        <v>12</v>
      </c>
      <c r="G56" s="9" t="s">
        <v>79</v>
      </c>
    </row>
    <row r="57" customFormat="false" ht="15" hidden="false" customHeight="false" outlineLevel="0" collapsed="false">
      <c r="A57" s="7" t="n">
        <v>44</v>
      </c>
      <c r="B57" s="9" t="str">
        <f aca="false">Matrix!A119</f>
        <v>Hatch preview that stays visible; Drawing Recovery; highlight the active drawing tool</v>
      </c>
      <c r="C57" s="7" t="str">
        <f aca="false">Matrix!C119</f>
        <v>Planned</v>
      </c>
      <c r="D57" s="10" t="n">
        <f aca="false">COUNTIF(Matrix!D119:K119,"Yes")+0.5*COUNTIF(Matrix!D119:K119,"Partial")</f>
        <v>0</v>
      </c>
      <c r="E57" s="11" t="s">
        <v>45</v>
      </c>
      <c r="F57" s="8" t="s">
        <v>35</v>
      </c>
      <c r="G57" s="9" t="s">
        <v>72</v>
      </c>
    </row>
    <row r="58" customFormat="false" ht="15" hidden="false" customHeight="false" outlineLevel="0" collapsed="false">
      <c r="A58" s="7" t="n">
        <v>46</v>
      </c>
      <c r="B58" s="9" t="str">
        <f aca="false">Matrix!A104</f>
        <v>Node editing across many vectors</v>
      </c>
      <c r="C58" s="7" t="str">
        <f aca="false">Matrix!C104</f>
        <v>Planned</v>
      </c>
      <c r="D58" s="10" t="n">
        <f aca="false">COUNTIF(Matrix!D104:K104,"Yes")+0.5*COUNTIF(Matrix!D104:K104,"Partial")</f>
        <v>0</v>
      </c>
      <c r="E58" s="11" t="s">
        <v>77</v>
      </c>
      <c r="F58" s="8" t="s">
        <v>35</v>
      </c>
      <c r="G58" s="9" t="s">
        <v>72</v>
      </c>
    </row>
    <row r="59" customFormat="false" ht="15" hidden="false" customHeight="false" outlineLevel="0" collapsed="false">
      <c r="A59" s="7" t="n">
        <v>47</v>
      </c>
      <c r="B59" s="9" t="str">
        <f aca="false">Matrix!A117</f>
        <v>On-canvas Text prompt</v>
      </c>
      <c r="C59" s="7" t="str">
        <f aca="false">Matrix!C117</f>
        <v>Planned</v>
      </c>
      <c r="D59" s="10" t="n">
        <f aca="false">COUNTIF(Matrix!D117:K117,"Yes")+0.5*COUNTIF(Matrix!D117:K117,"Partial")</f>
        <v>0</v>
      </c>
      <c r="E59" s="11" t="s">
        <v>78</v>
      </c>
      <c r="F59" s="8" t="s">
        <v>35</v>
      </c>
      <c r="G59" s="9" t="s">
        <v>72</v>
      </c>
    </row>
    <row r="60" customFormat="false" ht="15" hidden="false" customHeight="false" outlineLevel="0" collapsed="false">
      <c r="A60" s="7" t="n">
        <v>48</v>
      </c>
      <c r="B60" s="9" t="str">
        <f aca="false">Matrix!A120</f>
        <v>Packaging with LibreCarve ids and file names (CADCraft names remain)</v>
      </c>
      <c r="C60" s="7" t="str">
        <f aca="false">Matrix!C120</f>
        <v>Planned</v>
      </c>
      <c r="D60" s="10" t="n">
        <f aca="false">COUNTIF(Matrix!D120:K120,"Yes")+0.5*COUNTIF(Matrix!D120:K120,"Partial")</f>
        <v>0</v>
      </c>
      <c r="E60" s="11" t="s">
        <v>76</v>
      </c>
      <c r="F60" s="8" t="s">
        <v>35</v>
      </c>
      <c r="G60" s="9" t="s">
        <v>72</v>
      </c>
    </row>
    <row r="61" customFormat="false" ht="15" hidden="false" customHeight="false" outlineLevel="0" collapsed="false">
      <c r="A61" s="7" t="n">
        <v>49</v>
      </c>
      <c r="B61" s="9" t="str">
        <f aca="false">Matrix!A91</f>
        <v>PhotoVCarving</v>
      </c>
      <c r="C61" s="7" t="str">
        <f aca="false">Matrix!C91</f>
        <v>Planned</v>
      </c>
      <c r="D61" s="10" t="n">
        <f aca="false">COUNTIF(Matrix!D91:K91,"Yes")+0.5*COUNTIF(Matrix!D91:K91,"Partial")</f>
        <v>0</v>
      </c>
      <c r="E61" s="11" t="s">
        <v>67</v>
      </c>
      <c r="F61" s="8" t="s">
        <v>35</v>
      </c>
      <c r="G61" s="9" t="s">
        <v>72</v>
      </c>
    </row>
    <row r="62" customFormat="false" ht="15" hidden="false" customHeight="false" outlineLevel="0" collapsed="false">
      <c r="A62" s="7" t="n">
        <v>50</v>
      </c>
      <c r="B62" s="9" t="str">
        <f aca="false">Matrix!A111</f>
        <v>Printing and standard sheet templates</v>
      </c>
      <c r="C62" s="7" t="str">
        <f aca="false">Matrix!C111</f>
        <v>Planned</v>
      </c>
      <c r="D62" s="10" t="n">
        <f aca="false">COUNTIF(Matrix!D111:K111,"Yes")+0.5*COUNTIF(Matrix!D111:K111,"Partial")</f>
        <v>0</v>
      </c>
      <c r="E62" s="11" t="s">
        <v>76</v>
      </c>
      <c r="F62" s="8" t="s">
        <v>35</v>
      </c>
      <c r="G62" s="9" t="s">
        <v>72</v>
      </c>
    </row>
    <row r="63" customFormat="false" ht="15" hidden="false" customHeight="false" outlineLevel="0" collapsed="false">
      <c r="A63" s="7" t="n">
        <v>51</v>
      </c>
      <c r="B63" s="9" t="str">
        <f aca="false">Matrix!A87</f>
        <v>Profile extras: last-pass allowance, square corners, open-vector sides, start points</v>
      </c>
      <c r="C63" s="7" t="str">
        <f aca="false">Matrix!C87</f>
        <v>Planned</v>
      </c>
      <c r="D63" s="10" t="n">
        <f aca="false">COUNTIF(Matrix!D87:K87,"Yes")+0.5*COUNTIF(Matrix!D87:K87,"Partial")</f>
        <v>0</v>
      </c>
      <c r="E63" s="11" t="s">
        <v>67</v>
      </c>
      <c r="F63" s="8" t="s">
        <v>35</v>
      </c>
      <c r="G63" s="9" t="s">
        <v>72</v>
      </c>
    </row>
    <row r="64" customFormat="false" ht="15" hidden="false" customHeight="false" outlineLevel="0" collapsed="false">
      <c r="A64" s="7" t="n">
        <v>52</v>
      </c>
      <c r="B64" s="9" t="str">
        <f aca="false">Matrix!A92</f>
        <v>Project 2D toolpaths onto a 3D surface</v>
      </c>
      <c r="C64" s="7" t="str">
        <f aca="false">Matrix!C92</f>
        <v>Planned</v>
      </c>
      <c r="D64" s="10" t="n">
        <f aca="false">COUNTIF(Matrix!D92:K92,"Yes")+0.5*COUNTIF(Matrix!D92:K92,"Partial")</f>
        <v>0</v>
      </c>
      <c r="E64" s="11" t="s">
        <v>73</v>
      </c>
      <c r="F64" s="8" t="s">
        <v>35</v>
      </c>
      <c r="G64" s="9" t="s">
        <v>72</v>
      </c>
    </row>
    <row r="65" customFormat="false" ht="15" hidden="false" customHeight="false" outlineLevel="0" collapsed="false">
      <c r="A65" s="7" t="n">
        <v>53</v>
      </c>
      <c r="B65" s="9" t="str">
        <f aca="false">Matrix!A93</f>
        <v>Sketch carving</v>
      </c>
      <c r="C65" s="7" t="str">
        <f aca="false">Matrix!C93</f>
        <v>Planned</v>
      </c>
      <c r="D65" s="10" t="n">
        <f aca="false">COUNTIF(Matrix!D93:K93,"Yes")+0.5*COUNTIF(Matrix!D93:K93,"Partial")</f>
        <v>0</v>
      </c>
      <c r="E65" s="11" t="s">
        <v>73</v>
      </c>
      <c r="F65" s="8" t="s">
        <v>35</v>
      </c>
      <c r="G65" s="9" t="s">
        <v>72</v>
      </c>
    </row>
    <row r="66" customFormat="false" ht="15" hidden="false" customHeight="false" outlineLevel="0" collapsed="false">
      <c r="A66" s="7" t="n">
        <v>54</v>
      </c>
      <c r="B66" s="9" t="str">
        <f aca="false">Matrix!A103</f>
        <v>Smart snapping to extensions and guidelines</v>
      </c>
      <c r="C66" s="7" t="str">
        <f aca="false">Matrix!C103</f>
        <v>Planned</v>
      </c>
      <c r="D66" s="10" t="n">
        <f aca="false">COUNTIF(Matrix!D103:K103,"Yes")+0.5*COUNTIF(Matrix!D103:K103,"Partial")</f>
        <v>0</v>
      </c>
      <c r="E66" s="11" t="s">
        <v>77</v>
      </c>
      <c r="F66" s="8" t="s">
        <v>35</v>
      </c>
      <c r="G66" s="9" t="s">
        <v>72</v>
      </c>
    </row>
    <row r="67" customFormat="false" ht="15" hidden="false" customHeight="false" outlineLevel="0" collapsed="false">
      <c r="A67" s="7" t="n">
        <v>55</v>
      </c>
      <c r="B67" s="9" t="str">
        <f aca="false">Matrix!A101</f>
        <v>Star, freehand and polyline drawing; reopen a shape's form</v>
      </c>
      <c r="C67" s="7" t="str">
        <f aca="false">Matrix!C101</f>
        <v>Planned</v>
      </c>
      <c r="D67" s="10" t="n">
        <f aca="false">COUNTIF(Matrix!D101:K101,"Yes")+0.5*COUNTIF(Matrix!D101:K101,"Partial")</f>
        <v>0</v>
      </c>
      <c r="E67" s="11" t="s">
        <v>77</v>
      </c>
      <c r="F67" s="8" t="s">
        <v>35</v>
      </c>
      <c r="G67" s="9" t="s">
        <v>72</v>
      </c>
    </row>
    <row r="68" customFormat="false" ht="23.85" hidden="false" customHeight="false" outlineLevel="0" collapsed="false">
      <c r="A68" s="7" t="n">
        <v>56</v>
      </c>
      <c r="B68" s="9" t="str">
        <f aca="false">Matrix!A114</f>
        <v>Support for more controllers (Mach3/4, LinuxCNC, UCCNC, Masso, Centroid), with a post template language</v>
      </c>
      <c r="C68" s="7" t="str">
        <f aca="false">Matrix!C114</f>
        <v>Planned</v>
      </c>
      <c r="D68" s="10" t="n">
        <f aca="false">COUNTIF(Matrix!D114:K114,"Yes")+0.5*COUNTIF(Matrix!D114:K114,"Partial")</f>
        <v>0</v>
      </c>
      <c r="E68" s="11" t="s">
        <v>45</v>
      </c>
      <c r="F68" s="8" t="s">
        <v>35</v>
      </c>
      <c r="G68" s="9" t="s">
        <v>72</v>
      </c>
    </row>
    <row r="69" customFormat="false" ht="15" hidden="false" customHeight="false" outlineLevel="0" collapsed="false">
      <c r="A69" s="7" t="n">
        <v>57</v>
      </c>
      <c r="B69" s="9" t="str">
        <f aca="false">Matrix!A85</f>
        <v>Tool and feed selection by command</v>
      </c>
      <c r="C69" s="7" t="str">
        <f aca="false">Matrix!C85</f>
        <v>Planned</v>
      </c>
      <c r="D69" s="10" t="n">
        <f aca="false">COUNTIF(Matrix!D85:K85,"Yes")+0.5*COUNTIF(Matrix!D85:K85,"Partial")</f>
        <v>0</v>
      </c>
      <c r="E69" s="11" t="s">
        <v>74</v>
      </c>
      <c r="F69" s="8" t="s">
        <v>35</v>
      </c>
      <c r="G69" s="9" t="s">
        <v>72</v>
      </c>
    </row>
    <row r="70" customFormat="false" ht="15" hidden="false" customHeight="false" outlineLevel="0" collapsed="false">
      <c r="A70" s="7" t="n">
        <v>58</v>
      </c>
      <c r="B70" s="9" t="str">
        <f aca="false">Matrix!A94</f>
        <v>Toolpath tiling and batch toolpath saving</v>
      </c>
      <c r="C70" s="7" t="str">
        <f aca="false">Matrix!C94</f>
        <v>Planned</v>
      </c>
      <c r="D70" s="10" t="n">
        <f aca="false">COUNTIF(Matrix!D94:K94,"Yes")+0.5*COUNTIF(Matrix!D94:K94,"Partial")</f>
        <v>0</v>
      </c>
      <c r="E70" s="11" t="s">
        <v>76</v>
      </c>
      <c r="F70" s="8" t="s">
        <v>35</v>
      </c>
      <c r="G70" s="9" t="s">
        <v>72</v>
      </c>
    </row>
    <row r="71" customFormat="false" ht="15" hidden="false" customHeight="false" outlineLevel="0" collapsed="false">
      <c r="A71" s="7" t="n">
        <v>59</v>
      </c>
      <c r="B71" s="9" t="str">
        <f aca="false">Matrix!A88</f>
        <v>V-carve extras: several passes, start points, joined runs, smoothing, auto-weld, multi-tool</v>
      </c>
      <c r="C71" s="7" t="str">
        <f aca="false">Matrix!C88</f>
        <v>Planned</v>
      </c>
      <c r="D71" s="10" t="n">
        <f aca="false">COUNTIF(Matrix!D88:K88,"Yes")+0.5*COUNTIF(Matrix!D88:K88,"Partial")</f>
        <v>0</v>
      </c>
      <c r="E71" s="11" t="s">
        <v>67</v>
      </c>
      <c r="F71" s="8" t="s">
        <v>35</v>
      </c>
      <c r="G71" s="9" t="s">
        <v>72</v>
      </c>
    </row>
    <row r="72" customFormat="false" ht="15" hidden="false" customHeight="false" outlineLevel="0" collapsed="false">
      <c r="A72" s="7" t="n">
        <v>60</v>
      </c>
      <c r="B72" s="9" t="str">
        <f aca="false">Matrix!A106</f>
        <v>Vector texture generator</v>
      </c>
      <c r="C72" s="7" t="str">
        <f aca="false">Matrix!C106</f>
        <v>Planned</v>
      </c>
      <c r="D72" s="10" t="n">
        <f aca="false">COUNTIF(Matrix!D106:K106,"Yes")+0.5*COUNTIF(Matrix!D106:K106,"Partial")</f>
        <v>0</v>
      </c>
      <c r="E72" s="11" t="s">
        <v>77</v>
      </c>
      <c r="F72" s="8" t="s">
        <v>35</v>
      </c>
      <c r="G72" s="9" t="s">
        <v>72</v>
      </c>
    </row>
    <row r="73" customFormat="false" ht="15" hidden="false" customHeight="false" outlineLevel="0" collapsed="false">
      <c r="A73" s="7" t="n">
        <v>61</v>
      </c>
      <c r="B73" s="9" t="str">
        <f aca="false">Matrix!A102</f>
        <v>Weld and boolean directly on polylines; drag-snip; trim to a boundary</v>
      </c>
      <c r="C73" s="7" t="str">
        <f aca="false">Matrix!C102</f>
        <v>Planned</v>
      </c>
      <c r="D73" s="10" t="n">
        <f aca="false">COUNTIF(Matrix!D102:K102,"Yes")+0.5*COUNTIF(Matrix!D102:K102,"Partial")</f>
        <v>0</v>
      </c>
      <c r="E73" s="11" t="s">
        <v>77</v>
      </c>
      <c r="F73" s="8" t="s">
        <v>35</v>
      </c>
      <c r="G73" s="9" t="s">
        <v>72</v>
      </c>
    </row>
    <row r="74" customFormat="false" ht="15" hidden="false" customHeight="false" outlineLevel="0" collapsed="false">
      <c r="A74" s="7" t="n">
        <v>62</v>
      </c>
      <c r="B74" s="9" t="str">
        <f aca="false">Matrix!A96</f>
        <v>Array copy toolpath</v>
      </c>
      <c r="C74" s="7" t="str">
        <f aca="false">Matrix!C96</f>
        <v>Planned</v>
      </c>
      <c r="D74" s="10" t="n">
        <f aca="false">COUNTIF(Matrix!D96:K96,"Yes")+0.5*COUNTIF(Matrix!D96:K96,"Partial")</f>
        <v>0</v>
      </c>
      <c r="E74" s="11" t="s">
        <v>53</v>
      </c>
      <c r="F74" s="8" t="s">
        <v>35</v>
      </c>
      <c r="G74" s="9" t="s">
        <v>72</v>
      </c>
    </row>
    <row r="75" customFormat="false" ht="15" hidden="false" customHeight="false" outlineLevel="0" collapsed="false">
      <c r="A75" s="7" t="n">
        <v>63</v>
      </c>
      <c r="B75" s="9" t="str">
        <f aca="false">Matrix!A100</f>
        <v>Controller cutter compensation (G41/G42)</v>
      </c>
      <c r="C75" s="7" t="str">
        <f aca="false">Matrix!C100</f>
        <v>Planned</v>
      </c>
      <c r="D75" s="10" t="n">
        <f aca="false">COUNTIF(Matrix!D100:K100,"Yes")+0.5*COUNTIF(Matrix!D100:K100,"Partial")</f>
        <v>0</v>
      </c>
      <c r="E75" s="11" t="s">
        <v>53</v>
      </c>
      <c r="F75" s="8" t="s">
        <v>35</v>
      </c>
      <c r="G75" s="9" t="s">
        <v>72</v>
      </c>
    </row>
    <row r="76" customFormat="false" ht="15" hidden="false" customHeight="false" outlineLevel="0" collapsed="false">
      <c r="A76" s="7" t="n">
        <v>64</v>
      </c>
      <c r="B76" s="9" t="str">
        <f aca="false">Matrix!A95</f>
        <v>Drill-bank toolpaths</v>
      </c>
      <c r="C76" s="7" t="str">
        <f aca="false">Matrix!C95</f>
        <v>Planned</v>
      </c>
      <c r="D76" s="10" t="n">
        <f aca="false">COUNTIF(Matrix!D95:K95,"Yes")+0.5*COUNTIF(Matrix!D95:K95,"Partial")</f>
        <v>0</v>
      </c>
      <c r="E76" s="11" t="s">
        <v>53</v>
      </c>
      <c r="F76" s="8" t="s">
        <v>35</v>
      </c>
      <c r="G76" s="9" t="s">
        <v>72</v>
      </c>
    </row>
    <row r="77" customFormat="false" ht="15" hidden="false" customHeight="false" outlineLevel="0" collapsed="false">
      <c r="A77" s="7" t="n">
        <v>65</v>
      </c>
      <c r="B77" s="9" t="str">
        <f aca="false">Matrix!A99</f>
        <v>Gadget scripting (Rhai or Lua)</v>
      </c>
      <c r="C77" s="7" t="str">
        <f aca="false">Matrix!C99</f>
        <v>Planned</v>
      </c>
      <c r="D77" s="10" t="n">
        <f aca="false">COUNTIF(Matrix!D99:K99,"Yes")+0.5*COUNTIF(Matrix!D99:K99,"Partial")</f>
        <v>0</v>
      </c>
      <c r="E77" s="11" t="s">
        <v>53</v>
      </c>
      <c r="F77" s="8" t="s">
        <v>35</v>
      </c>
      <c r="G77" s="9" t="s">
        <v>72</v>
      </c>
    </row>
    <row r="78" customFormat="false" ht="15" hidden="false" customHeight="false" outlineLevel="0" collapsed="false">
      <c r="A78" s="7" t="n">
        <v>66</v>
      </c>
      <c r="B78" s="9" t="str">
        <f aca="false">Matrix!A97</f>
        <v>Keep-out zones that rapids route around</v>
      </c>
      <c r="C78" s="7" t="str">
        <f aca="false">Matrix!C97</f>
        <v>Planned</v>
      </c>
      <c r="D78" s="10" t="n">
        <f aca="false">COUNTIF(Matrix!D97:K97,"Yes")+0.5*COUNTIF(Matrix!D97:K97,"Partial")</f>
        <v>0</v>
      </c>
      <c r="E78" s="11" t="s">
        <v>53</v>
      </c>
      <c r="F78" s="8" t="s">
        <v>35</v>
      </c>
      <c r="G78" s="9" t="s">
        <v>72</v>
      </c>
    </row>
    <row r="79" customFormat="false" ht="15" hidden="false" customHeight="false" outlineLevel="0" collapsed="false">
      <c r="A79" s="7" t="n">
        <v>67</v>
      </c>
      <c r="B79" s="9" t="str">
        <f aca="false">Matrix!A98</f>
        <v>Production plate engraving from CSV</v>
      </c>
      <c r="C79" s="7" t="str">
        <f aca="false">Matrix!C98</f>
        <v>Planned</v>
      </c>
      <c r="D79" s="10" t="n">
        <f aca="false">COUNTIF(Matrix!D98:K98,"Yes")+0.5*COUNTIF(Matrix!D98:K98,"Partial")</f>
        <v>0</v>
      </c>
      <c r="E79" s="11" t="s">
        <v>53</v>
      </c>
      <c r="F79" s="8" t="s">
        <v>35</v>
      </c>
      <c r="G79" s="9" t="s">
        <v>72</v>
      </c>
    </row>
    <row r="80" customFormat="false" ht="15" hidden="false" customHeight="false" outlineLevel="0" collapsed="false">
      <c r="A80" s="7" t="n">
        <v>68</v>
      </c>
      <c r="B80" s="9" t="str">
        <f aca="false">Matrix!A123</f>
        <v>3D textures and texture area tiling</v>
      </c>
      <c r="C80" s="7" t="str">
        <f aca="false">Matrix!C123</f>
        <v>Planned</v>
      </c>
      <c r="D80" s="10" t="n">
        <f aca="false">COUNTIF(Matrix!D123:K123,"Yes")+0.5*COUNTIF(Matrix!D123:K123,"Partial")</f>
        <v>0</v>
      </c>
      <c r="E80" s="11" t="s">
        <v>80</v>
      </c>
      <c r="F80" s="8" t="s">
        <v>35</v>
      </c>
      <c r="G80" s="9" t="s">
        <v>72</v>
      </c>
    </row>
    <row r="81" customFormat="false" ht="15" hidden="false" customHeight="false" outlineLevel="0" collapsed="false">
      <c r="A81" s="7" t="n">
        <v>69</v>
      </c>
      <c r="B81" s="9" t="str">
        <f aca="false">Matrix!A128</f>
        <v>AI depth estimation from an ordinary photo</v>
      </c>
      <c r="C81" s="7" t="str">
        <f aca="false">Matrix!C128</f>
        <v>Planned</v>
      </c>
      <c r="D81" s="10" t="n">
        <f aca="false">COUNTIF(Matrix!D128:K128,"Yes")+0.5*COUNTIF(Matrix!D128:K128,"Partial")</f>
        <v>0</v>
      </c>
      <c r="E81" s="11" t="s">
        <v>81</v>
      </c>
      <c r="F81" s="8" t="s">
        <v>35</v>
      </c>
      <c r="G81" s="9" t="s">
        <v>72</v>
      </c>
    </row>
    <row r="82" customFormat="false" ht="15" hidden="false" customHeight="false" outlineLevel="0" collapsed="false">
      <c r="A82" s="7" t="n">
        <v>70</v>
      </c>
      <c r="B82" s="9" t="str">
        <f aca="false">Matrix!A126</f>
        <v>Drawing and editing in the 3D view</v>
      </c>
      <c r="C82" s="7" t="str">
        <f aca="false">Matrix!C126</f>
        <v>Planned</v>
      </c>
      <c r="D82" s="10" t="n">
        <f aca="false">COUNTIF(Matrix!D126:K126,"Yes")+0.5*COUNTIF(Matrix!D126:K126,"Partial")</f>
        <v>0</v>
      </c>
      <c r="E82" s="11" t="s">
        <v>82</v>
      </c>
      <c r="F82" s="8" t="s">
        <v>35</v>
      </c>
      <c r="G82" s="9" t="s">
        <v>72</v>
      </c>
    </row>
    <row r="83" customFormat="false" ht="23.85" hidden="false" customHeight="false" outlineLevel="0" collapsed="false">
      <c r="A83" s="7" t="n">
        <v>71</v>
      </c>
      <c r="B83" s="9" t="str">
        <f aca="false">Matrix!A127</f>
        <v>Photo carve from depth maps (greyscale and 16-bit)</v>
      </c>
      <c r="C83" s="7" t="str">
        <f aca="false">Matrix!C127</f>
        <v>Done</v>
      </c>
      <c r="D83" s="10" t="n">
        <f aca="false">COUNTIF(Matrix!D127:K127,"Yes")+0.5*COUNTIF(Matrix!D127:K127,"Partial")</f>
        <v>0</v>
      </c>
      <c r="E83" s="11" t="s">
        <v>81</v>
      </c>
      <c r="F83" s="8" t="s">
        <v>12</v>
      </c>
      <c r="G83" s="9" t="s">
        <v>83</v>
      </c>
    </row>
    <row r="84" customFormat="false" ht="15" hidden="false" customHeight="false" outlineLevel="0" collapsed="false">
      <c r="A84" s="7" t="n">
        <v>72</v>
      </c>
      <c r="B84" s="9" t="str">
        <f aca="false">Matrix!A121</f>
        <v>Relief component tree: levels, combine modes, bake, mirror, live 3D manipulation</v>
      </c>
      <c r="C84" s="7" t="str">
        <f aca="false">Matrix!C121</f>
        <v>Planned</v>
      </c>
      <c r="D84" s="10" t="n">
        <f aca="false">COUNTIF(Matrix!D121:K121,"Yes")+0.5*COUNTIF(Matrix!D121:K121,"Partial")</f>
        <v>0</v>
      </c>
      <c r="E84" s="11" t="s">
        <v>84</v>
      </c>
      <c r="F84" s="8" t="s">
        <v>35</v>
      </c>
      <c r="G84" s="9" t="s">
        <v>72</v>
      </c>
    </row>
    <row r="85" customFormat="false" ht="15" hidden="false" customHeight="false" outlineLevel="0" collapsed="false">
      <c r="A85" s="7" t="n">
        <v>73</v>
      </c>
      <c r="B85" s="9" t="str">
        <f aca="false">Matrix!A122</f>
        <v>Relief shape tools: round, angled, smooth, custom profile; two-rail sweep; extrude and weave</v>
      </c>
      <c r="C85" s="7" t="str">
        <f aca="false">Matrix!C122</f>
        <v>Planned</v>
      </c>
      <c r="D85" s="10" t="n">
        <f aca="false">COUNTIF(Matrix!D122:K122,"Yes")+0.5*COUNTIF(Matrix!D122:K122,"Partial")</f>
        <v>0</v>
      </c>
      <c r="E85" s="11" t="s">
        <v>80</v>
      </c>
      <c r="F85" s="8" t="s">
        <v>35</v>
      </c>
      <c r="G85" s="9" t="s">
        <v>72</v>
      </c>
    </row>
    <row r="86" customFormat="false" ht="15" hidden="false" customHeight="false" outlineLevel="0" collapsed="false">
      <c r="A86" s="7" t="n">
        <v>74</v>
      </c>
      <c r="B86" s="9" t="str">
        <f aca="false">Matrix!A125</f>
        <v>Relief slicing, offset, invert for moulds, emboss a 3D model, cross-section to vector</v>
      </c>
      <c r="C86" s="7" t="str">
        <f aca="false">Matrix!C125</f>
        <v>Planned</v>
      </c>
      <c r="D86" s="10" t="n">
        <f aca="false">COUNTIF(Matrix!D125:K125,"Yes")+0.5*COUNTIF(Matrix!D125:K125,"Partial")</f>
        <v>0</v>
      </c>
      <c r="E86" s="11" t="s">
        <v>82</v>
      </c>
      <c r="F86" s="8" t="s">
        <v>35</v>
      </c>
      <c r="G86" s="9" t="s">
        <v>72</v>
      </c>
    </row>
    <row r="87" customFormat="false" ht="15" hidden="false" customHeight="false" outlineLevel="0" collapsed="false">
      <c r="A87" s="7" t="n">
        <v>75</v>
      </c>
      <c r="B87" s="9" t="str">
        <f aca="false">Matrix!A112</f>
        <v>STL and OBJ export of reliefs</v>
      </c>
      <c r="C87" s="7" t="str">
        <f aca="false">Matrix!C112</f>
        <v>Planned</v>
      </c>
      <c r="D87" s="10" t="n">
        <f aca="false">COUNTIF(Matrix!D112:K112,"Yes")+0.5*COUNTIF(Matrix!D112:K112,"Partial")</f>
        <v>0</v>
      </c>
      <c r="E87" s="11" t="s">
        <v>82</v>
      </c>
      <c r="F87" s="8" t="s">
        <v>35</v>
      </c>
      <c r="G87" s="9" t="s">
        <v>72</v>
      </c>
    </row>
    <row r="88" customFormat="false" ht="15" hidden="false" customHeight="false" outlineLevel="0" collapsed="false">
      <c r="A88" s="7" t="n">
        <v>76</v>
      </c>
      <c r="B88" s="9" t="str">
        <f aca="false">Matrix!A124</f>
        <v>Sculpting brushes, stamping, local undo</v>
      </c>
      <c r="C88" s="7" t="str">
        <f aca="false">Matrix!C124</f>
        <v>Planned</v>
      </c>
      <c r="D88" s="10" t="n">
        <f aca="false">COUNTIF(Matrix!D124:K124,"Yes")+0.5*COUNTIF(Matrix!D124:K124,"Partial")</f>
        <v>0</v>
      </c>
      <c r="E88" s="11" t="s">
        <v>85</v>
      </c>
      <c r="F88" s="8" t="s">
        <v>35</v>
      </c>
      <c r="G88" s="9" t="s">
        <v>72</v>
      </c>
    </row>
    <row r="89" customFormat="false" ht="15" hidden="false" customHeight="false" outlineLevel="0" collapsed="false">
      <c r="A89" s="7" t="n">
        <v>77</v>
      </c>
      <c r="B89" s="9" t="str">
        <f aca="false">Matrix!A113</f>
        <v>3DM import</v>
      </c>
      <c r="C89" s="7" t="str">
        <f aca="false">Matrix!C113</f>
        <v>Planned</v>
      </c>
      <c r="D89" s="10" t="n">
        <f aca="false">COUNTIF(Matrix!D113:K113,"Yes")+0.5*COUNTIF(Matrix!D113:K113,"Partial")</f>
        <v>0</v>
      </c>
      <c r="E89" s="11" t="s">
        <v>61</v>
      </c>
      <c r="F89" s="8" t="s">
        <v>35</v>
      </c>
      <c r="G89" s="9" t="s">
        <v>72</v>
      </c>
    </row>
    <row r="90" customFormat="false" ht="15" hidden="false" customHeight="false" outlineLevel="0" collapsed="false">
      <c r="A90" s="7" t="n">
        <v>78</v>
      </c>
      <c r="B90" s="9" t="str">
        <f aca="false">Matrix!A131</f>
        <v>AI relief from a sketch or text</v>
      </c>
      <c r="C90" s="7" t="str">
        <f aca="false">Matrix!C131</f>
        <v>Planned</v>
      </c>
      <c r="D90" s="10" t="n">
        <f aca="false">COUNTIF(Matrix!D131:K131,"Yes")+0.5*COUNTIF(Matrix!D131:K131,"Partial")</f>
        <v>0</v>
      </c>
      <c r="E90" s="11" t="s">
        <v>61</v>
      </c>
      <c r="F90" s="8" t="s">
        <v>35</v>
      </c>
      <c r="G90" s="9" t="s">
        <v>72</v>
      </c>
    </row>
    <row r="91" customFormat="false" ht="15" hidden="false" customHeight="false" outlineLevel="0" collapsed="false">
      <c r="A91" s="7" t="n">
        <v>79</v>
      </c>
      <c r="B91" s="9" t="str">
        <f aca="false">Matrix!A132</f>
        <v>Client proofs: interactive 3D PDF or web viewer</v>
      </c>
      <c r="C91" s="7" t="str">
        <f aca="false">Matrix!C132</f>
        <v>Planned</v>
      </c>
      <c r="D91" s="10" t="n">
        <f aca="false">COUNTIF(Matrix!D132:K132,"Yes")+0.5*COUNTIF(Matrix!D132:K132,"Partial")</f>
        <v>0</v>
      </c>
      <c r="E91" s="11" t="s">
        <v>61</v>
      </c>
      <c r="F91" s="8" t="s">
        <v>35</v>
      </c>
      <c r="G91" s="9" t="s">
        <v>72</v>
      </c>
    </row>
    <row r="92" customFormat="false" ht="15" hidden="false" customHeight="false" outlineLevel="0" collapsed="false">
      <c r="A92" s="7" t="n">
        <v>80</v>
      </c>
      <c r="B92" s="9" t="str">
        <f aca="false">Matrix!A129</f>
        <v>Native machine sender: stream, jog, zero, probe, surface, macros</v>
      </c>
      <c r="C92" s="7" t="str">
        <f aca="false">Matrix!C129</f>
        <v>Planned</v>
      </c>
      <c r="D92" s="10" t="n">
        <f aca="false">COUNTIF(Matrix!D129:K129,"Yes")+0.5*COUNTIF(Matrix!D129:K129,"Partial")</f>
        <v>0</v>
      </c>
      <c r="E92" s="11" t="s">
        <v>61</v>
      </c>
      <c r="F92" s="8" t="s">
        <v>35</v>
      </c>
      <c r="G92" s="9" t="s">
        <v>72</v>
      </c>
    </row>
    <row r="93" customFormat="false" ht="15" hidden="false" customHeight="false" outlineLevel="0" collapsed="false">
      <c r="A93" s="7" t="n">
        <v>81</v>
      </c>
      <c r="B93" s="9" t="str">
        <f aca="false">Matrix!A130</f>
        <v>Tool-change wizards</v>
      </c>
      <c r="C93" s="7" t="str">
        <f aca="false">Matrix!C130</f>
        <v>Planned</v>
      </c>
      <c r="D93" s="10" t="n">
        <f aca="false">COUNTIF(Matrix!D130:K130,"Yes")+0.5*COUNTIF(Matrix!D130:K130,"Partial")</f>
        <v>0</v>
      </c>
      <c r="E93" s="11" t="s">
        <v>61</v>
      </c>
      <c r="F93" s="8" t="s">
        <v>35</v>
      </c>
      <c r="G93" s="9" t="s">
        <v>72</v>
      </c>
    </row>
    <row r="94" customFormat="false" ht="15" hidden="false" customHeight="false" outlineLevel="0" collapsed="false">
      <c r="A94" s="7" t="n">
        <v>82</v>
      </c>
      <c r="B94" s="9" t="str">
        <f aca="false">Matrix!A115</f>
        <v>Online tool database sync and shared read-only databases</v>
      </c>
      <c r="C94" s="7" t="str">
        <f aca="false">Matrix!C115</f>
        <v>Planned</v>
      </c>
      <c r="D94" s="10" t="n">
        <f aca="false">COUNTIF(Matrix!D115:K115,"Yes")+0.5*COUNTIF(Matrix!D115:K115,"Partial")</f>
        <v>0</v>
      </c>
      <c r="E94" s="11" t="s">
        <v>43</v>
      </c>
      <c r="F94" s="8" t="s">
        <v>35</v>
      </c>
      <c r="G94" s="9" t="s">
        <v>72</v>
      </c>
    </row>
    <row r="95" customFormat="false" ht="15" hidden="false" customHeight="false" outlineLevel="0" collapsed="false">
      <c r="A95" s="7" t="n">
        <v>83</v>
      </c>
      <c r="B95" s="9" t="str">
        <f aca="false">Matrix!A133</f>
        <v>Translation of the CAM screens and help pages</v>
      </c>
      <c r="C95" s="7" t="str">
        <f aca="false">Matrix!C133</f>
        <v>Planned</v>
      </c>
      <c r="D95" s="10" t="n">
        <f aca="false">COUNTIF(Matrix!D133:K133,"Yes")+0.5*COUNTIF(Matrix!D133:K133,"Partial")</f>
        <v>0</v>
      </c>
      <c r="E95" s="11" t="s">
        <v>86</v>
      </c>
      <c r="F95" s="8" t="s">
        <v>35</v>
      </c>
      <c r="G95" s="9" t="s">
        <v>72</v>
      </c>
    </row>
    <row r="96" customFormat="false" ht="102.2" hidden="false" customHeight="false" outlineLevel="0" collapsed="false">
      <c r="A96" s="7" t="n">
        <v>84</v>
      </c>
      <c r="B96" s="9" t="s">
        <v>87</v>
      </c>
      <c r="C96" s="7" t="s">
        <v>35</v>
      </c>
      <c r="D96" s="10" t="s">
        <v>11</v>
      </c>
      <c r="E96" s="11" t="s">
        <v>88</v>
      </c>
      <c r="F96" s="8" t="s">
        <v>12</v>
      </c>
      <c r="G96" s="9" t="s">
        <v>89</v>
      </c>
    </row>
    <row r="97" customFormat="false" ht="23.85" hidden="false" customHeight="false" outlineLevel="0" collapsed="false">
      <c r="A97" s="7" t="s">
        <v>90</v>
      </c>
      <c r="B97" s="9" t="s">
        <v>91</v>
      </c>
      <c r="C97" s="7" t="s">
        <v>12</v>
      </c>
      <c r="D97" s="10" t="s">
        <v>11</v>
      </c>
      <c r="E97" s="11" t="s">
        <v>92</v>
      </c>
      <c r="F97" s="8" t="s">
        <v>12</v>
      </c>
      <c r="G97" s="9" t="s">
        <v>93</v>
      </c>
    </row>
    <row r="98" customFormat="false" ht="23.85" hidden="false" customHeight="false" outlineLevel="0" collapsed="false">
      <c r="A98" s="7" t="s">
        <v>94</v>
      </c>
      <c r="B98" s="9" t="s">
        <v>95</v>
      </c>
      <c r="C98" s="7" t="s">
        <v>12</v>
      </c>
      <c r="D98" s="10" t="s">
        <v>11</v>
      </c>
      <c r="E98" s="11" t="s">
        <v>92</v>
      </c>
      <c r="F98" s="8" t="s">
        <v>12</v>
      </c>
      <c r="G98" s="9" t="s">
        <v>96</v>
      </c>
    </row>
    <row r="99" customFormat="false" ht="46.25" hidden="false" customHeight="false" outlineLevel="0" collapsed="false">
      <c r="A99" s="7" t="s">
        <v>97</v>
      </c>
      <c r="B99" s="9" t="s">
        <v>98</v>
      </c>
      <c r="C99" s="7" t="s">
        <v>12</v>
      </c>
      <c r="D99" s="10" t="s">
        <v>11</v>
      </c>
      <c r="E99" s="11" t="s">
        <v>20</v>
      </c>
      <c r="F99" s="8" t="s">
        <v>12</v>
      </c>
      <c r="G99" s="9" t="s">
        <v>99</v>
      </c>
    </row>
    <row r="100" customFormat="false" ht="57.45" hidden="false" customHeight="false" outlineLevel="0" collapsed="false">
      <c r="A100" s="7" t="n">
        <v>96</v>
      </c>
      <c r="B100" s="9" t="s">
        <v>100</v>
      </c>
      <c r="C100" s="7" t="s">
        <v>12</v>
      </c>
      <c r="D100" s="10" t="s">
        <v>11</v>
      </c>
      <c r="E100" s="11" t="s">
        <v>20</v>
      </c>
      <c r="F100" s="8" t="s">
        <v>12</v>
      </c>
      <c r="G100" s="9" t="s">
        <v>101</v>
      </c>
    </row>
    <row r="101" customFormat="false" ht="68.65" hidden="false" customHeight="false" outlineLevel="0" collapsed="false">
      <c r="A101" s="7" t="n">
        <v>97</v>
      </c>
      <c r="B101" s="9" t="s">
        <v>102</v>
      </c>
      <c r="C101" s="7" t="s">
        <v>12</v>
      </c>
      <c r="D101" s="10" t="s">
        <v>11</v>
      </c>
      <c r="E101" s="11" t="s">
        <v>103</v>
      </c>
      <c r="F101" s="8" t="s">
        <v>12</v>
      </c>
      <c r="G101" s="9" t="s">
        <v>104</v>
      </c>
    </row>
    <row r="102" customFormat="false" ht="57.45" hidden="false" customHeight="false" outlineLevel="0" collapsed="false">
      <c r="A102" s="7" t="n">
        <v>98</v>
      </c>
      <c r="B102" s="9" t="s">
        <v>105</v>
      </c>
      <c r="C102" s="7" t="s">
        <v>106</v>
      </c>
      <c r="D102" s="10" t="s">
        <v>11</v>
      </c>
      <c r="E102" s="11" t="s">
        <v>103</v>
      </c>
      <c r="F102" s="8" t="s">
        <v>35</v>
      </c>
      <c r="G102" s="9" t="s">
        <v>107</v>
      </c>
    </row>
    <row r="103" customFormat="false" ht="46.25" hidden="false" customHeight="false" outlineLevel="0" collapsed="false">
      <c r="A103" s="7" t="n">
        <v>99</v>
      </c>
      <c r="B103" s="9" t="s">
        <v>108</v>
      </c>
      <c r="C103" s="7" t="s">
        <v>106</v>
      </c>
      <c r="D103" s="10" t="s">
        <v>11</v>
      </c>
      <c r="E103" s="11" t="s">
        <v>20</v>
      </c>
      <c r="F103" s="8" t="s">
        <v>35</v>
      </c>
      <c r="G103" s="9" t="s">
        <v>109</v>
      </c>
    </row>
    <row r="104" customFormat="false" ht="35.05" hidden="false" customHeight="false" outlineLevel="0" collapsed="false">
      <c r="A104" s="7" t="n">
        <v>100</v>
      </c>
      <c r="B104" s="9" t="s">
        <v>110</v>
      </c>
      <c r="C104" s="7" t="s">
        <v>106</v>
      </c>
      <c r="D104" s="10" t="s">
        <v>11</v>
      </c>
      <c r="E104" s="11" t="s">
        <v>111</v>
      </c>
      <c r="F104" s="8" t="s">
        <v>35</v>
      </c>
      <c r="G104" s="9" t="s">
        <v>112</v>
      </c>
    </row>
    <row r="106" customFormat="false" ht="314.9" hidden="false" customHeight="false" outlineLevel="0" collapsed="false">
      <c r="A106" s="7" t="s">
        <v>113</v>
      </c>
    </row>
    <row r="107" customFormat="false" ht="393.25" hidden="false" customHeight="false" outlineLevel="0" collapsed="false">
      <c r="A107" s="7" t="s">
        <v>114</v>
      </c>
    </row>
  </sheetData>
  <dataValidations count="1">
    <dataValidation allowBlank="false" errorStyle="stop" operator="between" showDropDown="false" showErrorMessage="false" showInputMessage="false" sqref="F5:F104" type="list">
      <formula1>"Not started,In progress,Conditionally approved,Done,Needs decision"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G:G A1"/>
    </sheetView>
  </sheetViews>
  <sheetFormatPr defaultColWidth="8.5976562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3" min="3" style="0" width="18"/>
    <col collapsed="false" customWidth="true" hidden="false" outlineLevel="0" max="4" min="4" style="0" width="70"/>
    <col collapsed="false" customWidth="true" hidden="false" outlineLevel="0" max="5" min="5" style="0" width="18"/>
  </cols>
  <sheetData>
    <row r="1" customFormat="false" ht="15" hidden="false" customHeight="false" outlineLevel="0" collapsed="false">
      <c r="A1" s="1" t="s">
        <v>115</v>
      </c>
    </row>
    <row r="2" customFormat="false" ht="15" hidden="false" customHeight="false" outlineLevel="0" collapsed="false">
      <c r="A2" s="1" t="s">
        <v>116</v>
      </c>
    </row>
    <row r="4" customFormat="false" ht="15" hidden="false" customHeight="false" outlineLevel="0" collapsed="false">
      <c r="A4" s="5" t="s">
        <v>2</v>
      </c>
      <c r="B4" s="5" t="s">
        <v>117</v>
      </c>
      <c r="C4" s="5" t="s">
        <v>7</v>
      </c>
      <c r="D4" s="5" t="s">
        <v>118</v>
      </c>
      <c r="E4" s="5" t="s">
        <v>119</v>
      </c>
    </row>
    <row r="5" customFormat="false" ht="15" hidden="false" customHeight="false" outlineLevel="0" collapsed="false">
      <c r="A5" s="6" t="s">
        <v>120</v>
      </c>
      <c r="B5" s="6" t="s">
        <v>121</v>
      </c>
      <c r="C5" s="6" t="s">
        <v>12</v>
      </c>
      <c r="D5" s="6" t="s">
        <v>122</v>
      </c>
      <c r="E5" s="6"/>
    </row>
    <row r="6" customFormat="false" ht="15" hidden="false" customHeight="false" outlineLevel="0" collapsed="false">
      <c r="A6" s="6" t="s">
        <v>123</v>
      </c>
      <c r="B6" s="6" t="s">
        <v>124</v>
      </c>
      <c r="C6" s="6" t="s">
        <v>32</v>
      </c>
      <c r="D6" s="6" t="s">
        <v>125</v>
      </c>
      <c r="E6" s="6"/>
    </row>
    <row r="7" customFormat="false" ht="15" hidden="false" customHeight="false" outlineLevel="0" collapsed="false">
      <c r="A7" s="6" t="s">
        <v>126</v>
      </c>
      <c r="B7" s="6" t="s">
        <v>127</v>
      </c>
      <c r="C7" s="6" t="s">
        <v>12</v>
      </c>
      <c r="D7" s="6" t="s">
        <v>128</v>
      </c>
      <c r="E7" s="6"/>
    </row>
    <row r="8" customFormat="false" ht="15" hidden="false" customHeight="false" outlineLevel="0" collapsed="false">
      <c r="A8" s="6" t="s">
        <v>129</v>
      </c>
      <c r="B8" s="6" t="s">
        <v>130</v>
      </c>
      <c r="C8" s="6" t="s">
        <v>32</v>
      </c>
      <c r="D8" s="6" t="s">
        <v>131</v>
      </c>
      <c r="E8" s="6"/>
    </row>
    <row r="9" customFormat="false" ht="15" hidden="false" customHeight="false" outlineLevel="0" collapsed="false">
      <c r="A9" s="6" t="s">
        <v>132</v>
      </c>
      <c r="B9" s="6" t="s">
        <v>133</v>
      </c>
      <c r="C9" s="6" t="s">
        <v>12</v>
      </c>
      <c r="D9" s="6" t="s">
        <v>134</v>
      </c>
      <c r="E9" s="6" t="s">
        <v>135</v>
      </c>
    </row>
  </sheetData>
  <dataValidations count="1">
    <dataValidation allowBlank="false" errorStyle="stop" operator="between" showDropDown="false" showErrorMessage="false" showInputMessage="false" sqref="C5:C30" type="list">
      <formula1>"Not started,In progress,Conditionally approved,Done,Needs decision"</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1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1" sqref="G:G A1"/>
    </sheetView>
  </sheetViews>
  <sheetFormatPr defaultColWidth="8.68359375" defaultRowHeight="15" zeroHeight="false" outlineLevelRow="0" outlineLevelCol="0"/>
  <cols>
    <col collapsed="false" customWidth="true" hidden="false" outlineLevel="0" max="1" min="1" style="1" width="58"/>
    <col collapsed="false" customWidth="true" hidden="false" outlineLevel="0" max="2" min="2" style="1" width="9"/>
    <col collapsed="false" customWidth="true" hidden="false" outlineLevel="0" max="11" min="3" style="1" width="20"/>
    <col collapsed="false" customWidth="true" hidden="false" outlineLevel="0" max="12" min="12" style="1" width="18"/>
    <col collapsed="false" customWidth="true" hidden="false" outlineLevel="0" max="13" min="13" style="1" width="14"/>
  </cols>
  <sheetData>
    <row r="1" customFormat="false" ht="17.25" hidden="false" customHeight="true" outlineLevel="0" collapsed="false">
      <c r="A1" s="3" t="s">
        <v>136</v>
      </c>
    </row>
    <row r="2" customFormat="false" ht="15" hidden="false" customHeight="true" outlineLevel="0" collapsed="false">
      <c r="A2" s="4" t="s">
        <v>137</v>
      </c>
    </row>
    <row r="4" customFormat="false" ht="33.75" hidden="false" customHeight="true" outlineLevel="0" collapsed="false">
      <c r="A4" s="12" t="s">
        <v>138</v>
      </c>
      <c r="B4" s="5" t="s">
        <v>6</v>
      </c>
      <c r="C4" s="5" t="s">
        <v>139</v>
      </c>
      <c r="D4" s="5" t="s">
        <v>140</v>
      </c>
      <c r="E4" s="5" t="s">
        <v>141</v>
      </c>
      <c r="F4" s="5" t="s">
        <v>142</v>
      </c>
      <c r="G4" s="5" t="s">
        <v>143</v>
      </c>
      <c r="H4" s="5" t="s">
        <v>144</v>
      </c>
      <c r="I4" s="5" t="s">
        <v>145</v>
      </c>
      <c r="J4" s="5" t="s">
        <v>146</v>
      </c>
      <c r="K4" s="5" t="s">
        <v>147</v>
      </c>
      <c r="L4" s="5" t="s">
        <v>148</v>
      </c>
      <c r="M4" s="5" t="s">
        <v>149</v>
      </c>
    </row>
    <row r="5" customFormat="false" ht="51.75" hidden="false" customHeight="true" outlineLevel="0" collapsed="false">
      <c r="A5" s="13" t="s">
        <v>150</v>
      </c>
      <c r="B5" s="14"/>
      <c r="C5" s="15" t="s">
        <v>151</v>
      </c>
      <c r="D5" s="15" t="s">
        <v>151</v>
      </c>
      <c r="E5" s="15" t="s">
        <v>152</v>
      </c>
      <c r="F5" s="15" t="s">
        <v>153</v>
      </c>
      <c r="G5" s="15" t="s">
        <v>154</v>
      </c>
      <c r="H5" s="15" t="s">
        <v>155</v>
      </c>
      <c r="I5" s="15" t="s">
        <v>156</v>
      </c>
      <c r="J5" s="15" t="s">
        <v>157</v>
      </c>
      <c r="K5" s="15" t="s">
        <v>158</v>
      </c>
      <c r="L5" s="14"/>
      <c r="M5" s="14"/>
    </row>
    <row r="6" customFormat="false" ht="15" hidden="false" customHeight="true" outlineLevel="0" collapsed="false">
      <c r="A6" s="13" t="s">
        <v>159</v>
      </c>
      <c r="B6" s="14"/>
      <c r="C6" s="16" t="n">
        <v>0</v>
      </c>
      <c r="D6" s="16" t="n">
        <v>0</v>
      </c>
      <c r="E6" s="16" t="n">
        <v>120</v>
      </c>
      <c r="F6" s="16" t="n">
        <v>0</v>
      </c>
      <c r="G6" s="16" t="n">
        <v>216</v>
      </c>
      <c r="H6" s="16" t="n">
        <v>680</v>
      </c>
      <c r="I6" s="16" t="n">
        <v>699</v>
      </c>
      <c r="J6" s="16" t="n">
        <v>1995</v>
      </c>
      <c r="K6" s="16" t="n">
        <v>6000</v>
      </c>
      <c r="L6" s="14"/>
      <c r="M6" s="14"/>
    </row>
    <row r="7" customFormat="false" ht="39.75" hidden="false" customHeight="true" outlineLevel="0" collapsed="false">
      <c r="A7" s="13" t="s">
        <v>160</v>
      </c>
      <c r="B7" s="14"/>
      <c r="C7" s="17"/>
      <c r="D7" s="17"/>
      <c r="E7" s="17" t="s">
        <v>161</v>
      </c>
      <c r="F7" s="17" t="s">
        <v>162</v>
      </c>
      <c r="G7" s="17" t="s">
        <v>163</v>
      </c>
      <c r="H7" s="17" t="s">
        <v>164</v>
      </c>
      <c r="I7" s="17" t="s">
        <v>165</v>
      </c>
      <c r="J7" s="17" t="s">
        <v>166</v>
      </c>
      <c r="K7" s="17" t="s">
        <v>167</v>
      </c>
      <c r="L7" s="14"/>
      <c r="M7" s="14"/>
    </row>
    <row r="8" customFormat="false" ht="15" hidden="false" customHeight="true" outlineLevel="0" collapsed="false">
      <c r="A8" s="18" t="s">
        <v>168</v>
      </c>
      <c r="B8" s="18"/>
      <c r="C8" s="18"/>
      <c r="D8" s="18"/>
      <c r="E8" s="18"/>
      <c r="F8" s="18"/>
      <c r="G8" s="18"/>
      <c r="H8" s="18"/>
      <c r="I8" s="18"/>
      <c r="J8" s="18"/>
      <c r="K8" s="18"/>
      <c r="L8" s="19"/>
      <c r="M8" s="19"/>
    </row>
    <row r="9" customFormat="false" ht="15" hidden="false" customHeight="true" outlineLevel="0" collapsed="false">
      <c r="A9" s="6" t="s">
        <v>169</v>
      </c>
      <c r="B9" s="20" t="s">
        <v>170</v>
      </c>
      <c r="C9" s="21" t="s">
        <v>12</v>
      </c>
      <c r="D9" s="22" t="s">
        <v>171</v>
      </c>
      <c r="E9" s="22" t="s">
        <v>171</v>
      </c>
      <c r="F9" s="23" t="s">
        <v>172</v>
      </c>
      <c r="G9" s="22" t="s">
        <v>171</v>
      </c>
      <c r="H9" s="22" t="s">
        <v>171</v>
      </c>
      <c r="I9" s="22" t="s">
        <v>171</v>
      </c>
      <c r="J9" s="22" t="s">
        <v>171</v>
      </c>
      <c r="K9" s="22" t="s">
        <v>171</v>
      </c>
      <c r="L9" s="24" t="n">
        <f aca="false">IF(COUNTIF(D9:K9,"?")=8,"n/a",COUNTIF(D9:K9,"Yes")+0.5*COUNTIF(D9:K9,"Partial"))</f>
        <v>7</v>
      </c>
      <c r="M9" s="25" t="str">
        <f aca="false">IFERROR(INDEX('Priority list'!$A$5:$A$200,MATCH(A9,'Priority list'!$B$5:$B$200,0)),IF(C9="Done","Done","-"))</f>
        <v>Done</v>
      </c>
    </row>
    <row r="10" customFormat="false" ht="15" hidden="false" customHeight="true" outlineLevel="0" collapsed="false">
      <c r="A10" s="6" t="s">
        <v>173</v>
      </c>
      <c r="B10" s="26" t="s">
        <v>45</v>
      </c>
      <c r="C10" s="27" t="s">
        <v>31</v>
      </c>
      <c r="D10" s="22" t="s">
        <v>171</v>
      </c>
      <c r="E10" s="22" t="s">
        <v>171</v>
      </c>
      <c r="F10" s="23" t="s">
        <v>172</v>
      </c>
      <c r="G10" s="23" t="s">
        <v>172</v>
      </c>
      <c r="H10" s="22" t="s">
        <v>171</v>
      </c>
      <c r="I10" s="22" t="s">
        <v>171</v>
      </c>
      <c r="J10" s="22" t="s">
        <v>171</v>
      </c>
      <c r="K10" s="22" t="s">
        <v>171</v>
      </c>
      <c r="L10" s="24" t="n">
        <f aca="false">IF(COUNTIF(D10:K10,"?")=8,"n/a",COUNTIF(D10:K10,"Yes")+0.5*COUNTIF(D10:K10,"Partial"))</f>
        <v>6</v>
      </c>
      <c r="M10" s="25" t="n">
        <f aca="false">IFERROR(INDEX('Priority list'!$A$5:$A$200,MATCH(A10,'Priority list'!$B$5:$B$200,0)),IF(C10="Done","Done","-"))</f>
        <v>7</v>
      </c>
    </row>
    <row r="11" customFormat="false" ht="15" hidden="false" customHeight="true" outlineLevel="0" collapsed="false">
      <c r="A11" s="6" t="s">
        <v>174</v>
      </c>
      <c r="B11" s="20" t="s">
        <v>170</v>
      </c>
      <c r="C11" s="21" t="s">
        <v>12</v>
      </c>
      <c r="D11" s="22" t="s">
        <v>171</v>
      </c>
      <c r="E11" s="28" t="s">
        <v>31</v>
      </c>
      <c r="F11" s="29" t="s">
        <v>175</v>
      </c>
      <c r="G11" s="28" t="s">
        <v>31</v>
      </c>
      <c r="H11" s="22" t="s">
        <v>171</v>
      </c>
      <c r="I11" s="22" t="s">
        <v>171</v>
      </c>
      <c r="J11" s="22" t="s">
        <v>171</v>
      </c>
      <c r="K11" s="22" t="s">
        <v>171</v>
      </c>
      <c r="L11" s="24" t="n">
        <f aca="false">IF(COUNTIF(D11:K11,"?")=8,"n/a",COUNTIF(D11:K11,"Yes")+0.5*COUNTIF(D11:K11,"Partial"))</f>
        <v>6</v>
      </c>
      <c r="M11" s="25" t="str">
        <f aca="false">IFERROR(INDEX('Priority list'!$A$5:$A$200,MATCH(A11,'Priority list'!$B$5:$B$200,0)),IF(C11="Done","Done","-"))</f>
        <v>Done</v>
      </c>
    </row>
    <row r="12" customFormat="false" ht="15" hidden="false" customHeight="true" outlineLevel="0" collapsed="false">
      <c r="A12" s="6" t="s">
        <v>176</v>
      </c>
      <c r="B12" s="20" t="s">
        <v>170</v>
      </c>
      <c r="C12" s="21" t="s">
        <v>12</v>
      </c>
      <c r="D12" s="22" t="s">
        <v>171</v>
      </c>
      <c r="E12" s="22" t="s">
        <v>171</v>
      </c>
      <c r="F12" s="23" t="s">
        <v>172</v>
      </c>
      <c r="G12" s="23" t="s">
        <v>172</v>
      </c>
      <c r="H12" s="22" t="s">
        <v>171</v>
      </c>
      <c r="I12" s="22" t="s">
        <v>171</v>
      </c>
      <c r="J12" s="22" t="s">
        <v>171</v>
      </c>
      <c r="K12" s="22" t="s">
        <v>171</v>
      </c>
      <c r="L12" s="24" t="n">
        <f aca="false">IF(COUNTIF(D12:K12,"?")=8,"n/a",COUNTIF(D12:K12,"Yes")+0.5*COUNTIF(D12:K12,"Partial"))</f>
        <v>6</v>
      </c>
      <c r="M12" s="25" t="str">
        <f aca="false">IFERROR(INDEX('Priority list'!$A$5:$A$200,MATCH(A12,'Priority list'!$B$5:$B$200,0)),IF(C12="Done","Done","-"))</f>
        <v>Done</v>
      </c>
    </row>
    <row r="13" customFormat="false" ht="15" hidden="false" customHeight="true" outlineLevel="0" collapsed="false">
      <c r="A13" s="6" t="s">
        <v>177</v>
      </c>
      <c r="B13" s="20" t="s">
        <v>170</v>
      </c>
      <c r="C13" s="21" t="s">
        <v>12</v>
      </c>
      <c r="D13" s="22" t="s">
        <v>171</v>
      </c>
      <c r="E13" s="23" t="s">
        <v>172</v>
      </c>
      <c r="F13" s="23" t="s">
        <v>172</v>
      </c>
      <c r="G13" s="23" t="s">
        <v>172</v>
      </c>
      <c r="H13" s="22" t="s">
        <v>171</v>
      </c>
      <c r="I13" s="28" t="s">
        <v>31</v>
      </c>
      <c r="J13" s="28" t="s">
        <v>31</v>
      </c>
      <c r="K13" s="22" t="s">
        <v>171</v>
      </c>
      <c r="L13" s="24" t="n">
        <f aca="false">IF(COUNTIF(D13:K13,"?")=8,"n/a",COUNTIF(D13:K13,"Yes")+0.5*COUNTIF(D13:K13,"Partial"))</f>
        <v>4</v>
      </c>
      <c r="M13" s="25" t="str">
        <f aca="false">IFERROR(INDEX('Priority list'!$A$5:$A$200,MATCH(A13,'Priority list'!$B$5:$B$200,0)),IF(C13="Done","Done","-"))</f>
        <v>Done</v>
      </c>
    </row>
    <row r="14" customFormat="false" ht="15" hidden="false" customHeight="true" outlineLevel="0" collapsed="false">
      <c r="A14" s="6" t="s">
        <v>178</v>
      </c>
      <c r="B14" s="20" t="s">
        <v>170</v>
      </c>
      <c r="C14" s="21" t="s">
        <v>12</v>
      </c>
      <c r="D14" s="22" t="s">
        <v>171</v>
      </c>
      <c r="E14" s="22" t="s">
        <v>171</v>
      </c>
      <c r="F14" s="29" t="s">
        <v>175</v>
      </c>
      <c r="G14" s="22" t="s">
        <v>171</v>
      </c>
      <c r="H14" s="22" t="s">
        <v>171</v>
      </c>
      <c r="I14" s="22" t="s">
        <v>171</v>
      </c>
      <c r="J14" s="22" t="s">
        <v>171</v>
      </c>
      <c r="K14" s="22" t="s">
        <v>171</v>
      </c>
      <c r="L14" s="24" t="n">
        <f aca="false">IF(COUNTIF(D14:K14,"?")=8,"n/a",COUNTIF(D14:K14,"Yes")+0.5*COUNTIF(D14:K14,"Partial"))</f>
        <v>7</v>
      </c>
      <c r="M14" s="25" t="str">
        <f aca="false">IFERROR(INDEX('Priority list'!$A$5:$A$200,MATCH(A14,'Priority list'!$B$5:$B$200,0)),IF(C14="Done","Done","-"))</f>
        <v>Done</v>
      </c>
    </row>
    <row r="15" customFormat="false" ht="15" hidden="false" customHeight="true" outlineLevel="0" collapsed="false">
      <c r="A15" s="6" t="s">
        <v>179</v>
      </c>
      <c r="B15" s="20" t="s">
        <v>170</v>
      </c>
      <c r="C15" s="21" t="s">
        <v>12</v>
      </c>
      <c r="D15" s="28" t="s">
        <v>31</v>
      </c>
      <c r="E15" s="28" t="s">
        <v>31</v>
      </c>
      <c r="F15" s="23" t="s">
        <v>172</v>
      </c>
      <c r="G15" s="23" t="s">
        <v>172</v>
      </c>
      <c r="H15" s="28" t="s">
        <v>31</v>
      </c>
      <c r="I15" s="22" t="s">
        <v>171</v>
      </c>
      <c r="J15" s="22" t="s">
        <v>171</v>
      </c>
      <c r="K15" s="22" t="s">
        <v>171</v>
      </c>
      <c r="L15" s="24" t="n">
        <f aca="false">IF(COUNTIF(D15:K15,"?")=8,"n/a",COUNTIF(D15:K15,"Yes")+0.5*COUNTIF(D15:K15,"Partial"))</f>
        <v>4.5</v>
      </c>
      <c r="M15" s="25" t="str">
        <f aca="false">IFERROR(INDEX('Priority list'!$A$5:$A$200,MATCH(A15,'Priority list'!$B$5:$B$200,0)),IF(C15="Done","Done","-"))</f>
        <v>Done</v>
      </c>
    </row>
    <row r="16" customFormat="false" ht="15" hidden="false" customHeight="true" outlineLevel="0" collapsed="false">
      <c r="A16" s="18" t="s">
        <v>180</v>
      </c>
      <c r="B16" s="18"/>
      <c r="C16" s="18"/>
      <c r="D16" s="18"/>
      <c r="E16" s="18"/>
      <c r="F16" s="18"/>
      <c r="G16" s="18"/>
      <c r="H16" s="18"/>
      <c r="I16" s="18"/>
      <c r="J16" s="18"/>
      <c r="K16" s="18"/>
      <c r="L16" s="19"/>
      <c r="M16" s="19"/>
    </row>
    <row r="17" customFormat="false" ht="15" hidden="false" customHeight="true" outlineLevel="0" collapsed="false">
      <c r="A17" s="6" t="s">
        <v>181</v>
      </c>
      <c r="B17" s="20" t="s">
        <v>170</v>
      </c>
      <c r="C17" s="21" t="s">
        <v>12</v>
      </c>
      <c r="D17" s="22" t="s">
        <v>171</v>
      </c>
      <c r="E17" s="22" t="s">
        <v>171</v>
      </c>
      <c r="F17" s="28" t="s">
        <v>31</v>
      </c>
      <c r="G17" s="22" t="s">
        <v>171</v>
      </c>
      <c r="H17" s="22" t="s">
        <v>171</v>
      </c>
      <c r="I17" s="22" t="s">
        <v>171</v>
      </c>
      <c r="J17" s="22" t="s">
        <v>171</v>
      </c>
      <c r="K17" s="22" t="s">
        <v>171</v>
      </c>
      <c r="L17" s="24" t="n">
        <f aca="false">IF(COUNTIF(D17:K17,"?")=8,"n/a",COUNTIF(D17:K17,"Yes")+0.5*COUNTIF(D17:K17,"Partial"))</f>
        <v>7.5</v>
      </c>
      <c r="M17" s="25" t="str">
        <f aca="false">IFERROR(INDEX('Priority list'!$A$5:$A$200,MATCH(A17,'Priority list'!$B$5:$B$200,0)),IF(C17="Done","Done","-"))</f>
        <v>Done</v>
      </c>
    </row>
    <row r="18" customFormat="false" ht="15" hidden="false" customHeight="true" outlineLevel="0" collapsed="false">
      <c r="A18" s="6" t="s">
        <v>182</v>
      </c>
      <c r="B18" s="20" t="s">
        <v>170</v>
      </c>
      <c r="C18" s="21" t="s">
        <v>12</v>
      </c>
      <c r="D18" s="29" t="s">
        <v>175</v>
      </c>
      <c r="E18" s="29" t="s">
        <v>175</v>
      </c>
      <c r="F18" s="29" t="s">
        <v>175</v>
      </c>
      <c r="G18" s="29" t="s">
        <v>175</v>
      </c>
      <c r="H18" s="29" t="s">
        <v>175</v>
      </c>
      <c r="I18" s="29" t="s">
        <v>175</v>
      </c>
      <c r="J18" s="29" t="s">
        <v>175</v>
      </c>
      <c r="K18" s="29" t="s">
        <v>175</v>
      </c>
      <c r="L18" s="24" t="str">
        <f aca="false">IF(COUNTIF(D18:K18,"?")=8,"n/a",COUNTIF(D18:K18,"Yes")+0.5*COUNTIF(D18:K18,"Partial"))</f>
        <v>n/a</v>
      </c>
      <c r="M18" s="25" t="str">
        <f aca="false">IFERROR(INDEX('Priority list'!$A$5:$A$200,MATCH(A18,'Priority list'!$B$5:$B$200,0)),IF(C18="Done","Done","-"))</f>
        <v>Done</v>
      </c>
    </row>
    <row r="19" customFormat="false" ht="15" hidden="false" customHeight="true" outlineLevel="0" collapsed="false">
      <c r="A19" s="6" t="s">
        <v>183</v>
      </c>
      <c r="B19" s="26" t="s">
        <v>45</v>
      </c>
      <c r="C19" s="26" t="s">
        <v>31</v>
      </c>
      <c r="D19" s="23" t="s">
        <v>172</v>
      </c>
      <c r="E19" s="29" t="s">
        <v>175</v>
      </c>
      <c r="F19" s="23" t="s">
        <v>172</v>
      </c>
      <c r="G19" s="23" t="s">
        <v>172</v>
      </c>
      <c r="H19" s="23" t="s">
        <v>172</v>
      </c>
      <c r="I19" s="22" t="s">
        <v>171</v>
      </c>
      <c r="J19" s="22" t="s">
        <v>171</v>
      </c>
      <c r="K19" s="29" t="s">
        <v>175</v>
      </c>
      <c r="L19" s="24" t="n">
        <f aca="false">IF(COUNTIF(D19:K19,"?")=8,"n/a",COUNTIF(D19:K19,"Yes")+0.5*COUNTIF(D19:K19,"Partial"))</f>
        <v>2</v>
      </c>
      <c r="M19" s="25" t="n">
        <f aca="false">IFERROR(INDEX('Priority list'!$A$5:$A$200,MATCH(A19,'Priority list'!$B$5:$B$200,0)),IF(C19="Done","Done","-"))</f>
        <v>25</v>
      </c>
    </row>
    <row r="20" customFormat="false" ht="15" hidden="false" customHeight="true" outlineLevel="0" collapsed="false">
      <c r="A20" s="6" t="s">
        <v>184</v>
      </c>
      <c r="B20" s="26" t="s">
        <v>45</v>
      </c>
      <c r="C20" s="27" t="s">
        <v>12</v>
      </c>
      <c r="D20" s="28" t="s">
        <v>31</v>
      </c>
      <c r="E20" s="22" t="s">
        <v>171</v>
      </c>
      <c r="F20" s="22" t="s">
        <v>171</v>
      </c>
      <c r="G20" s="22" t="s">
        <v>171</v>
      </c>
      <c r="H20" s="23" t="s">
        <v>172</v>
      </c>
      <c r="I20" s="22" t="s">
        <v>171</v>
      </c>
      <c r="J20" s="22" t="s">
        <v>171</v>
      </c>
      <c r="K20" s="23" t="s">
        <v>172</v>
      </c>
      <c r="L20" s="24" t="n">
        <f aca="false">IF(COUNTIF(D20:K20,"?")=8,"n/a",COUNTIF(D20:K20,"Yes")+0.5*COUNTIF(D20:K20,"Partial"))</f>
        <v>5.5</v>
      </c>
      <c r="M20" s="25" t="n">
        <f aca="false">IFERROR(INDEX('Priority list'!$A$5:$A$200,MATCH(A20,'Priority list'!$B$5:$B$200,0)),IF(C20="Done","Done","-"))</f>
        <v>14</v>
      </c>
    </row>
    <row r="21" customFormat="false" ht="15" hidden="false" customHeight="true" outlineLevel="0" collapsed="false">
      <c r="A21" s="6" t="s">
        <v>185</v>
      </c>
      <c r="B21" s="26" t="s">
        <v>45</v>
      </c>
      <c r="C21" s="26" t="s">
        <v>31</v>
      </c>
      <c r="D21" s="23" t="s">
        <v>172</v>
      </c>
      <c r="E21" s="28" t="s">
        <v>31</v>
      </c>
      <c r="F21" s="23" t="s">
        <v>172</v>
      </c>
      <c r="G21" s="23" t="s">
        <v>172</v>
      </c>
      <c r="H21" s="23" t="s">
        <v>172</v>
      </c>
      <c r="I21" s="22" t="s">
        <v>171</v>
      </c>
      <c r="J21" s="22" t="s">
        <v>171</v>
      </c>
      <c r="K21" s="23" t="s">
        <v>172</v>
      </c>
      <c r="L21" s="24" t="n">
        <f aca="false">IF(COUNTIF(D21:K21,"?")=8,"n/a",COUNTIF(D21:K21,"Yes")+0.5*COUNTIF(D21:K21,"Partial"))</f>
        <v>2.5</v>
      </c>
      <c r="M21" s="25" t="n">
        <f aca="false">IFERROR(INDEX('Priority list'!$A$5:$A$200,MATCH(A21,'Priority list'!$B$5:$B$200,0)),IF(C21="Done","Done","-"))</f>
        <v>21</v>
      </c>
    </row>
    <row r="22" customFormat="false" ht="15" hidden="false" customHeight="true" outlineLevel="0" collapsed="false">
      <c r="A22" s="18" t="s">
        <v>186</v>
      </c>
      <c r="B22" s="18"/>
      <c r="C22" s="18"/>
      <c r="D22" s="18"/>
      <c r="E22" s="18"/>
      <c r="F22" s="18"/>
      <c r="G22" s="18"/>
      <c r="H22" s="18"/>
      <c r="I22" s="18"/>
      <c r="J22" s="18"/>
      <c r="K22" s="18"/>
      <c r="L22" s="19"/>
      <c r="M22" s="19"/>
    </row>
    <row r="23" customFormat="false" ht="15" hidden="false" customHeight="true" outlineLevel="0" collapsed="false">
      <c r="A23" s="6" t="s">
        <v>187</v>
      </c>
      <c r="B23" s="20" t="s">
        <v>170</v>
      </c>
      <c r="C23" s="21" t="s">
        <v>12</v>
      </c>
      <c r="D23" s="22" t="s">
        <v>171</v>
      </c>
      <c r="E23" s="22" t="s">
        <v>171</v>
      </c>
      <c r="F23" s="29" t="s">
        <v>175</v>
      </c>
      <c r="G23" s="22" t="s">
        <v>171</v>
      </c>
      <c r="H23" s="22" t="s">
        <v>171</v>
      </c>
      <c r="I23" s="22" t="s">
        <v>171</v>
      </c>
      <c r="J23" s="22" t="s">
        <v>171</v>
      </c>
      <c r="K23" s="22" t="s">
        <v>171</v>
      </c>
      <c r="L23" s="24" t="n">
        <f aca="false">IF(COUNTIF(D23:K23,"?")=8,"n/a",COUNTIF(D23:K23,"Yes")+0.5*COUNTIF(D23:K23,"Partial"))</f>
        <v>7</v>
      </c>
      <c r="M23" s="25" t="str">
        <f aca="false">IFERROR(INDEX('Priority list'!$A$5:$A$200,MATCH(A23,'Priority list'!$B$5:$B$200,0)),IF(C23="Done","Done","-"))</f>
        <v>Done</v>
      </c>
    </row>
    <row r="24" customFormat="false" ht="15" hidden="false" customHeight="true" outlineLevel="0" collapsed="false">
      <c r="A24" s="6" t="s">
        <v>188</v>
      </c>
      <c r="B24" s="20" t="s">
        <v>170</v>
      </c>
      <c r="C24" s="21" t="s">
        <v>12</v>
      </c>
      <c r="D24" s="22" t="s">
        <v>171</v>
      </c>
      <c r="E24" s="22" t="s">
        <v>171</v>
      </c>
      <c r="F24" s="22" t="s">
        <v>171</v>
      </c>
      <c r="G24" s="22" t="s">
        <v>171</v>
      </c>
      <c r="H24" s="22" t="s">
        <v>171</v>
      </c>
      <c r="I24" s="22" t="s">
        <v>171</v>
      </c>
      <c r="J24" s="22" t="s">
        <v>171</v>
      </c>
      <c r="K24" s="29" t="s">
        <v>175</v>
      </c>
      <c r="L24" s="24" t="n">
        <f aca="false">IF(COUNTIF(D24:K24,"?")=8,"n/a",COUNTIF(D24:K24,"Yes")+0.5*COUNTIF(D24:K24,"Partial"))</f>
        <v>7</v>
      </c>
      <c r="M24" s="25" t="str">
        <f aca="false">IFERROR(INDEX('Priority list'!$A$5:$A$200,MATCH(A24,'Priority list'!$B$5:$B$200,0)),IF(C24="Done","Done","-"))</f>
        <v>Done</v>
      </c>
    </row>
    <row r="25" customFormat="false" ht="15" hidden="false" customHeight="true" outlineLevel="0" collapsed="false">
      <c r="A25" s="6" t="s">
        <v>189</v>
      </c>
      <c r="B25" s="20" t="s">
        <v>170</v>
      </c>
      <c r="C25" s="21" t="s">
        <v>12</v>
      </c>
      <c r="D25" s="28" t="s">
        <v>31</v>
      </c>
      <c r="E25" s="23" t="s">
        <v>172</v>
      </c>
      <c r="F25" s="23" t="s">
        <v>172</v>
      </c>
      <c r="G25" s="23" t="s">
        <v>172</v>
      </c>
      <c r="H25" s="22" t="s">
        <v>171</v>
      </c>
      <c r="I25" s="29" t="s">
        <v>175</v>
      </c>
      <c r="J25" s="29" t="s">
        <v>175</v>
      </c>
      <c r="K25" s="22" t="s">
        <v>171</v>
      </c>
      <c r="L25" s="24" t="n">
        <f aca="false">IF(COUNTIF(D25:K25,"?")=8,"n/a",COUNTIF(D25:K25,"Yes")+0.5*COUNTIF(D25:K25,"Partial"))</f>
        <v>2.5</v>
      </c>
      <c r="M25" s="25" t="str">
        <f aca="false">IFERROR(INDEX('Priority list'!$A$5:$A$200,MATCH(A25,'Priority list'!$B$5:$B$200,0)),IF(C25="Done","Done","-"))</f>
        <v>Done</v>
      </c>
    </row>
    <row r="26" customFormat="false" ht="15" hidden="false" customHeight="true" outlineLevel="0" collapsed="false">
      <c r="A26" s="6" t="s">
        <v>190</v>
      </c>
      <c r="B26" s="26" t="s">
        <v>45</v>
      </c>
      <c r="C26" s="26" t="s">
        <v>191</v>
      </c>
      <c r="D26" s="28" t="s">
        <v>31</v>
      </c>
      <c r="E26" s="29" t="s">
        <v>175</v>
      </c>
      <c r="F26" s="23" t="s">
        <v>172</v>
      </c>
      <c r="G26" s="23" t="s">
        <v>172</v>
      </c>
      <c r="H26" s="23" t="s">
        <v>172</v>
      </c>
      <c r="I26" s="22" t="s">
        <v>171</v>
      </c>
      <c r="J26" s="22" t="s">
        <v>171</v>
      </c>
      <c r="K26" s="29" t="s">
        <v>175</v>
      </c>
      <c r="L26" s="24" t="n">
        <f aca="false">IF(COUNTIF(D26:K26,"?")=8,"n/a",COUNTIF(D26:K26,"Yes")+0.5*COUNTIF(D26:K26,"Partial"))</f>
        <v>2.5</v>
      </c>
      <c r="M26" s="25" t="n">
        <f aca="false">IFERROR(INDEX('Priority list'!$A$5:$A$200,MATCH(A26,'Priority list'!$B$5:$B$200,0)),IF(C26="Done","Done","-"))</f>
        <v>22</v>
      </c>
    </row>
    <row r="27" customFormat="false" ht="15" hidden="false" customHeight="true" outlineLevel="0" collapsed="false">
      <c r="A27" s="6" t="s">
        <v>192</v>
      </c>
      <c r="B27" s="26" t="s">
        <v>45</v>
      </c>
      <c r="C27" s="27" t="s">
        <v>31</v>
      </c>
      <c r="D27" s="22" t="s">
        <v>171</v>
      </c>
      <c r="E27" s="22" t="s">
        <v>171</v>
      </c>
      <c r="F27" s="23" t="s">
        <v>172</v>
      </c>
      <c r="G27" s="23" t="s">
        <v>172</v>
      </c>
      <c r="H27" s="22" t="s">
        <v>171</v>
      </c>
      <c r="I27" s="22" t="s">
        <v>171</v>
      </c>
      <c r="J27" s="22" t="s">
        <v>171</v>
      </c>
      <c r="K27" s="22" t="s">
        <v>171</v>
      </c>
      <c r="L27" s="24" t="n">
        <f aca="false">IF(COUNTIF(D27:K27,"?")=8,"n/a",COUNTIF(D27:K27,"Yes")+0.5*COUNTIF(D27:K27,"Partial"))</f>
        <v>6</v>
      </c>
      <c r="M27" s="25" t="n">
        <f aca="false">IFERROR(INDEX('Priority list'!$A$5:$A$200,MATCH(A27,'Priority list'!$B$5:$B$200,0)),IF(C27="Done","Done","-"))</f>
        <v>8</v>
      </c>
    </row>
    <row r="28" customFormat="false" ht="15" hidden="false" customHeight="true" outlineLevel="0" collapsed="false">
      <c r="A28" s="6" t="s">
        <v>193</v>
      </c>
      <c r="B28" s="26" t="s">
        <v>61</v>
      </c>
      <c r="C28" s="26" t="s">
        <v>191</v>
      </c>
      <c r="D28" s="22" t="s">
        <v>171</v>
      </c>
      <c r="E28" s="23" t="s">
        <v>172</v>
      </c>
      <c r="F28" s="23" t="s">
        <v>172</v>
      </c>
      <c r="G28" s="23" t="s">
        <v>172</v>
      </c>
      <c r="H28" s="22" t="s">
        <v>171</v>
      </c>
      <c r="I28" s="23" t="s">
        <v>172</v>
      </c>
      <c r="J28" s="23" t="s">
        <v>172</v>
      </c>
      <c r="K28" s="22" t="s">
        <v>171</v>
      </c>
      <c r="L28" s="24" t="n">
        <f aca="false">IF(COUNTIF(D28:K28,"?")=8,"n/a",COUNTIF(D28:K28,"Yes")+0.5*COUNTIF(D28:K28,"Partial"))</f>
        <v>3</v>
      </c>
      <c r="M28" s="25" t="n">
        <f aca="false">IFERROR(INDEX('Priority list'!$A$5:$A$200,MATCH(A28,'Priority list'!$B$5:$B$200,0)),IF(C28="Done","Done","-"))</f>
        <v>20</v>
      </c>
    </row>
    <row r="29" customFormat="false" ht="15" hidden="false" customHeight="true" outlineLevel="0" collapsed="false">
      <c r="A29" s="6" t="s">
        <v>194</v>
      </c>
      <c r="B29" s="20" t="s">
        <v>170</v>
      </c>
      <c r="C29" s="21" t="s">
        <v>12</v>
      </c>
      <c r="D29" s="22" t="s">
        <v>171</v>
      </c>
      <c r="E29" s="22" t="s">
        <v>171</v>
      </c>
      <c r="F29" s="23" t="s">
        <v>172</v>
      </c>
      <c r="G29" s="23" t="s">
        <v>172</v>
      </c>
      <c r="H29" s="22" t="s">
        <v>171</v>
      </c>
      <c r="I29" s="22" t="s">
        <v>171</v>
      </c>
      <c r="J29" s="22" t="s">
        <v>171</v>
      </c>
      <c r="K29" s="22" t="s">
        <v>171</v>
      </c>
      <c r="L29" s="24" t="n">
        <f aca="false">IF(COUNTIF(D29:K29,"?")=8,"n/a",COUNTIF(D29:K29,"Yes")+0.5*COUNTIF(D29:K29,"Partial"))</f>
        <v>6</v>
      </c>
      <c r="M29" s="25" t="str">
        <f aca="false">IFERROR(INDEX('Priority list'!$A$5:$A$200,MATCH(A29,'Priority list'!$B$5:$B$200,0)),IF(C29="Done","Done","-"))</f>
        <v>Done</v>
      </c>
    </row>
    <row r="30" customFormat="false" ht="15" hidden="false" customHeight="true" outlineLevel="0" collapsed="false">
      <c r="A30" s="18" t="s">
        <v>195</v>
      </c>
      <c r="B30" s="18"/>
      <c r="C30" s="18"/>
      <c r="D30" s="18"/>
      <c r="E30" s="18"/>
      <c r="F30" s="18"/>
      <c r="G30" s="18"/>
      <c r="H30" s="18"/>
      <c r="I30" s="18"/>
      <c r="J30" s="18"/>
      <c r="K30" s="18"/>
      <c r="L30" s="19"/>
      <c r="M30" s="19"/>
    </row>
    <row r="31" customFormat="false" ht="15" hidden="false" customHeight="true" outlineLevel="0" collapsed="false">
      <c r="A31" s="6" t="s">
        <v>196</v>
      </c>
      <c r="B31" s="20" t="s">
        <v>170</v>
      </c>
      <c r="C31" s="21" t="s">
        <v>12</v>
      </c>
      <c r="D31" s="22" t="s">
        <v>171</v>
      </c>
      <c r="E31" s="22" t="s">
        <v>171</v>
      </c>
      <c r="F31" s="28" t="s">
        <v>31</v>
      </c>
      <c r="G31" s="22" t="s">
        <v>171</v>
      </c>
      <c r="H31" s="22" t="s">
        <v>171</v>
      </c>
      <c r="I31" s="22" t="s">
        <v>171</v>
      </c>
      <c r="J31" s="22" t="s">
        <v>171</v>
      </c>
      <c r="K31" s="22" t="s">
        <v>171</v>
      </c>
      <c r="L31" s="24" t="n">
        <f aca="false">IF(COUNTIF(D31:K31,"?")=8,"n/a",COUNTIF(D31:K31,"Yes")+0.5*COUNTIF(D31:K31,"Partial"))</f>
        <v>7.5</v>
      </c>
      <c r="M31" s="25" t="str">
        <f aca="false">IFERROR(INDEX('Priority list'!$A$5:$A$200,MATCH(A31,'Priority list'!$B$5:$B$200,0)),IF(C31="Done","Done","-"))</f>
        <v>Done</v>
      </c>
    </row>
    <row r="32" customFormat="false" ht="15" hidden="false" customHeight="true" outlineLevel="0" collapsed="false">
      <c r="A32" s="6" t="s">
        <v>197</v>
      </c>
      <c r="B32" s="20" t="s">
        <v>170</v>
      </c>
      <c r="C32" s="21" t="s">
        <v>12</v>
      </c>
      <c r="D32" s="22" t="s">
        <v>171</v>
      </c>
      <c r="E32" s="22" t="s">
        <v>171</v>
      </c>
      <c r="F32" s="28" t="s">
        <v>31</v>
      </c>
      <c r="G32" s="28" t="s">
        <v>31</v>
      </c>
      <c r="H32" s="22" t="s">
        <v>171</v>
      </c>
      <c r="I32" s="22" t="s">
        <v>171</v>
      </c>
      <c r="J32" s="22" t="s">
        <v>171</v>
      </c>
      <c r="K32" s="22" t="s">
        <v>171</v>
      </c>
      <c r="L32" s="24" t="n">
        <f aca="false">IF(COUNTIF(D32:K32,"?")=8,"n/a",COUNTIF(D32:K32,"Yes")+0.5*COUNTIF(D32:K32,"Partial"))</f>
        <v>7</v>
      </c>
      <c r="M32" s="25" t="str">
        <f aca="false">IFERROR(INDEX('Priority list'!$A$5:$A$200,MATCH(A32,'Priority list'!$B$5:$B$200,0)),IF(C32="Done","Done","-"))</f>
        <v>Done</v>
      </c>
    </row>
    <row r="33" customFormat="false" ht="15" hidden="false" customHeight="true" outlineLevel="0" collapsed="false">
      <c r="A33" s="6" t="s">
        <v>198</v>
      </c>
      <c r="B33" s="26" t="s">
        <v>45</v>
      </c>
      <c r="C33" s="26" t="s">
        <v>191</v>
      </c>
      <c r="D33" s="22" t="s">
        <v>171</v>
      </c>
      <c r="E33" s="23" t="s">
        <v>172</v>
      </c>
      <c r="F33" s="23" t="s">
        <v>172</v>
      </c>
      <c r="G33" s="23" t="s">
        <v>172</v>
      </c>
      <c r="H33" s="22" t="s">
        <v>171</v>
      </c>
      <c r="I33" s="22" t="s">
        <v>171</v>
      </c>
      <c r="J33" s="22" t="s">
        <v>171</v>
      </c>
      <c r="K33" s="22" t="s">
        <v>171</v>
      </c>
      <c r="L33" s="24" t="n">
        <f aca="false">IF(COUNTIF(D33:K33,"?")=8,"n/a",COUNTIF(D33:K33,"Yes")+0.5*COUNTIF(D33:K33,"Partial"))</f>
        <v>5</v>
      </c>
      <c r="M33" s="25" t="n">
        <f aca="false">IFERROR(INDEX('Priority list'!$A$5:$A$200,MATCH(A33,'Priority list'!$B$5:$B$200,0)),IF(C33="Done","Done","-"))</f>
        <v>11</v>
      </c>
    </row>
    <row r="34" customFormat="false" ht="15" hidden="false" customHeight="true" outlineLevel="0" collapsed="false">
      <c r="A34" s="6" t="s">
        <v>199</v>
      </c>
      <c r="B34" s="26" t="s">
        <v>45</v>
      </c>
      <c r="C34" s="26" t="s">
        <v>31</v>
      </c>
      <c r="D34" s="28" t="s">
        <v>31</v>
      </c>
      <c r="E34" s="29" t="s">
        <v>175</v>
      </c>
      <c r="F34" s="23" t="s">
        <v>172</v>
      </c>
      <c r="G34" s="23" t="s">
        <v>172</v>
      </c>
      <c r="H34" s="22" t="s">
        <v>171</v>
      </c>
      <c r="I34" s="22" t="s">
        <v>171</v>
      </c>
      <c r="J34" s="22" t="s">
        <v>171</v>
      </c>
      <c r="K34" s="22" t="s">
        <v>171</v>
      </c>
      <c r="L34" s="24" t="n">
        <f aca="false">IF(COUNTIF(D34:K34,"?")=8,"n/a",COUNTIF(D34:K34,"Yes")+0.5*COUNTIF(D34:K34,"Partial"))</f>
        <v>4.5</v>
      </c>
      <c r="M34" s="25" t="n">
        <f aca="false">IFERROR(INDEX('Priority list'!$A$5:$A$200,MATCH(A34,'Priority list'!$B$5:$B$200,0)),IF(C34="Done","Done","-"))</f>
        <v>15</v>
      </c>
    </row>
    <row r="35" customFormat="false" ht="15" hidden="false" customHeight="true" outlineLevel="0" collapsed="false">
      <c r="A35" s="6" t="s">
        <v>200</v>
      </c>
      <c r="B35" s="26" t="s">
        <v>45</v>
      </c>
      <c r="C35" s="26" t="s">
        <v>191</v>
      </c>
      <c r="D35" s="28" t="s">
        <v>31</v>
      </c>
      <c r="E35" s="29" t="s">
        <v>175</v>
      </c>
      <c r="F35" s="23" t="s">
        <v>172</v>
      </c>
      <c r="G35" s="23" t="s">
        <v>172</v>
      </c>
      <c r="H35" s="22" t="s">
        <v>171</v>
      </c>
      <c r="I35" s="22" t="s">
        <v>171</v>
      </c>
      <c r="J35" s="22" t="s">
        <v>171</v>
      </c>
      <c r="K35" s="22" t="s">
        <v>171</v>
      </c>
      <c r="L35" s="24" t="n">
        <f aca="false">IF(COUNTIF(D35:K35,"?")=8,"n/a",COUNTIF(D35:K35,"Yes")+0.5*COUNTIF(D35:K35,"Partial"))</f>
        <v>4.5</v>
      </c>
      <c r="M35" s="25" t="n">
        <f aca="false">IFERROR(INDEX('Priority list'!$A$5:$A$200,MATCH(A35,'Priority list'!$B$5:$B$200,0)),IF(C35="Done","Done","-"))</f>
        <v>10</v>
      </c>
    </row>
    <row r="36" customFormat="false" ht="15" hidden="false" customHeight="true" outlineLevel="0" collapsed="false">
      <c r="A36" s="6" t="s">
        <v>201</v>
      </c>
      <c r="B36" s="20" t="s">
        <v>170</v>
      </c>
      <c r="C36" s="21" t="s">
        <v>12</v>
      </c>
      <c r="D36" s="23" t="s">
        <v>172</v>
      </c>
      <c r="E36" s="29" t="s">
        <v>175</v>
      </c>
      <c r="F36" s="23" t="s">
        <v>172</v>
      </c>
      <c r="G36" s="23" t="s">
        <v>172</v>
      </c>
      <c r="H36" s="23" t="s">
        <v>172</v>
      </c>
      <c r="I36" s="29" t="s">
        <v>175</v>
      </c>
      <c r="J36" s="29" t="s">
        <v>175</v>
      </c>
      <c r="K36" s="23" t="s">
        <v>172</v>
      </c>
      <c r="L36" s="24" t="n">
        <f aca="false">IF(COUNTIF(D36:K36,"?")=8,"n/a",COUNTIF(D36:K36,"Yes")+0.5*COUNTIF(D36:K36,"Partial"))</f>
        <v>0</v>
      </c>
      <c r="M36" s="25" t="str">
        <f aca="false">IFERROR(INDEX('Priority list'!$A$5:$A$200,MATCH(A36,'Priority list'!$B$5:$B$200,0)),IF(C36="Done","Done","-"))</f>
        <v>Done</v>
      </c>
    </row>
    <row r="37" customFormat="false" ht="15" hidden="false" customHeight="true" outlineLevel="0" collapsed="false">
      <c r="A37" s="18" t="s">
        <v>202</v>
      </c>
      <c r="B37" s="18"/>
      <c r="C37" s="18"/>
      <c r="D37" s="18"/>
      <c r="E37" s="18"/>
      <c r="F37" s="18"/>
      <c r="G37" s="18"/>
      <c r="H37" s="18"/>
      <c r="I37" s="18"/>
      <c r="J37" s="18"/>
      <c r="K37" s="18"/>
      <c r="L37" s="19"/>
      <c r="M37" s="19"/>
    </row>
    <row r="38" customFormat="false" ht="15" hidden="false" customHeight="true" outlineLevel="0" collapsed="false">
      <c r="A38" s="6" t="s">
        <v>203</v>
      </c>
      <c r="B38" s="20" t="s">
        <v>170</v>
      </c>
      <c r="C38" s="21" t="s">
        <v>12</v>
      </c>
      <c r="D38" s="22" t="s">
        <v>171</v>
      </c>
      <c r="E38" s="22" t="s">
        <v>171</v>
      </c>
      <c r="F38" s="22" t="s">
        <v>171</v>
      </c>
      <c r="G38" s="22" t="s">
        <v>171</v>
      </c>
      <c r="H38" s="22" t="s">
        <v>171</v>
      </c>
      <c r="I38" s="22" t="s">
        <v>171</v>
      </c>
      <c r="J38" s="22" t="s">
        <v>171</v>
      </c>
      <c r="K38" s="22" t="s">
        <v>171</v>
      </c>
      <c r="L38" s="24" t="n">
        <f aca="false">IF(COUNTIF(D38:K38,"?")=8,"n/a",COUNTIF(D38:K38,"Yes")+0.5*COUNTIF(D38:K38,"Partial"))</f>
        <v>8</v>
      </c>
      <c r="M38" s="25" t="str">
        <f aca="false">IFERROR(INDEX('Priority list'!$A$5:$A$200,MATCH(A38,'Priority list'!$B$5:$B$200,0)),IF(C38="Done","Done","-"))</f>
        <v>Done</v>
      </c>
    </row>
    <row r="39" customFormat="false" ht="15" hidden="false" customHeight="true" outlineLevel="0" collapsed="false">
      <c r="A39" s="6" t="s">
        <v>204</v>
      </c>
      <c r="B39" s="20" t="s">
        <v>170</v>
      </c>
      <c r="C39" s="21" t="s">
        <v>12</v>
      </c>
      <c r="D39" s="22" t="s">
        <v>171</v>
      </c>
      <c r="E39" s="22" t="s">
        <v>171</v>
      </c>
      <c r="F39" s="29" t="s">
        <v>175</v>
      </c>
      <c r="G39" s="22" t="s">
        <v>171</v>
      </c>
      <c r="H39" s="22" t="s">
        <v>171</v>
      </c>
      <c r="I39" s="22" t="s">
        <v>171</v>
      </c>
      <c r="J39" s="22" t="s">
        <v>171</v>
      </c>
      <c r="K39" s="22" t="s">
        <v>171</v>
      </c>
      <c r="L39" s="24" t="n">
        <f aca="false">IF(COUNTIF(D39:K39,"?")=8,"n/a",COUNTIF(D39:K39,"Yes")+0.5*COUNTIF(D39:K39,"Partial"))</f>
        <v>7</v>
      </c>
      <c r="M39" s="25" t="str">
        <f aca="false">IFERROR(INDEX('Priority list'!$A$5:$A$200,MATCH(A39,'Priority list'!$B$5:$B$200,0)),IF(C39="Done","Done","-"))</f>
        <v>Done</v>
      </c>
    </row>
    <row r="40" customFormat="false" ht="15" hidden="false" customHeight="true" outlineLevel="0" collapsed="false">
      <c r="A40" s="6" t="s">
        <v>205</v>
      </c>
      <c r="B40" s="20" t="s">
        <v>170</v>
      </c>
      <c r="C40" s="21" t="s">
        <v>12</v>
      </c>
      <c r="D40" s="22" t="s">
        <v>171</v>
      </c>
      <c r="E40" s="28" t="s">
        <v>31</v>
      </c>
      <c r="F40" s="23" t="s">
        <v>172</v>
      </c>
      <c r="G40" s="23" t="s">
        <v>172</v>
      </c>
      <c r="H40" s="22" t="s">
        <v>171</v>
      </c>
      <c r="I40" s="22" t="s">
        <v>171</v>
      </c>
      <c r="J40" s="22" t="s">
        <v>171</v>
      </c>
      <c r="K40" s="22" t="s">
        <v>171</v>
      </c>
      <c r="L40" s="24" t="n">
        <f aca="false">IF(COUNTIF(D40:K40,"?")=8,"n/a",COUNTIF(D40:K40,"Yes")+0.5*COUNTIF(D40:K40,"Partial"))</f>
        <v>5.5</v>
      </c>
      <c r="M40" s="25" t="str">
        <f aca="false">IFERROR(INDEX('Priority list'!$A$5:$A$200,MATCH(A40,'Priority list'!$B$5:$B$200,0)),IF(C40="Done","Done","-"))</f>
        <v>Done</v>
      </c>
    </row>
    <row r="41" customFormat="false" ht="15" hidden="false" customHeight="true" outlineLevel="0" collapsed="false">
      <c r="A41" s="6" t="s">
        <v>206</v>
      </c>
      <c r="B41" s="20" t="s">
        <v>170</v>
      </c>
      <c r="C41" s="21" t="s">
        <v>12</v>
      </c>
      <c r="D41" s="22" t="s">
        <v>171</v>
      </c>
      <c r="E41" s="22" t="s">
        <v>171</v>
      </c>
      <c r="F41" s="29" t="s">
        <v>175</v>
      </c>
      <c r="G41" s="22" t="s">
        <v>171</v>
      </c>
      <c r="H41" s="22" t="s">
        <v>171</v>
      </c>
      <c r="I41" s="22" t="s">
        <v>171</v>
      </c>
      <c r="J41" s="22" t="s">
        <v>171</v>
      </c>
      <c r="K41" s="22" t="s">
        <v>171</v>
      </c>
      <c r="L41" s="24" t="n">
        <f aca="false">IF(COUNTIF(D41:K41,"?")=8,"n/a",COUNTIF(D41:K41,"Yes")+0.5*COUNTIF(D41:K41,"Partial"))</f>
        <v>7</v>
      </c>
      <c r="M41" s="25" t="str">
        <f aca="false">IFERROR(INDEX('Priority list'!$A$5:$A$200,MATCH(A41,'Priority list'!$B$5:$B$200,0)),IF(C41="Done","Done","-"))</f>
        <v>Done</v>
      </c>
    </row>
    <row r="42" customFormat="false" ht="15" hidden="false" customHeight="true" outlineLevel="0" collapsed="false">
      <c r="A42" s="6" t="s">
        <v>207</v>
      </c>
      <c r="B42" s="20" t="s">
        <v>170</v>
      </c>
      <c r="C42" s="21" t="s">
        <v>12</v>
      </c>
      <c r="D42" s="28" t="s">
        <v>31</v>
      </c>
      <c r="E42" s="23" t="s">
        <v>172</v>
      </c>
      <c r="F42" s="23" t="s">
        <v>172</v>
      </c>
      <c r="G42" s="23" t="s">
        <v>172</v>
      </c>
      <c r="H42" s="22" t="s">
        <v>171</v>
      </c>
      <c r="I42" s="22" t="s">
        <v>171</v>
      </c>
      <c r="J42" s="22" t="s">
        <v>171</v>
      </c>
      <c r="K42" s="22" t="s">
        <v>171</v>
      </c>
      <c r="L42" s="24" t="n">
        <f aca="false">IF(COUNTIF(D42:K42,"?")=8,"n/a",COUNTIF(D42:K42,"Yes")+0.5*COUNTIF(D42:K42,"Partial"))</f>
        <v>4.5</v>
      </c>
      <c r="M42" s="25" t="str">
        <f aca="false">IFERROR(INDEX('Priority list'!$A$5:$A$200,MATCH(A42,'Priority list'!$B$5:$B$200,0)),IF(C42="Done","Done","-"))</f>
        <v>Done</v>
      </c>
    </row>
    <row r="43" customFormat="false" ht="15" hidden="false" customHeight="true" outlineLevel="0" collapsed="false">
      <c r="A43" s="6" t="s">
        <v>208</v>
      </c>
      <c r="B43" s="26" t="s">
        <v>45</v>
      </c>
      <c r="C43" s="26" t="s">
        <v>191</v>
      </c>
      <c r="D43" s="22" t="s">
        <v>171</v>
      </c>
      <c r="E43" s="28" t="s">
        <v>31</v>
      </c>
      <c r="F43" s="23" t="s">
        <v>172</v>
      </c>
      <c r="G43" s="23" t="s">
        <v>172</v>
      </c>
      <c r="H43" s="22" t="s">
        <v>171</v>
      </c>
      <c r="I43" s="22" t="s">
        <v>171</v>
      </c>
      <c r="J43" s="22" t="s">
        <v>171</v>
      </c>
      <c r="K43" s="22" t="s">
        <v>171</v>
      </c>
      <c r="L43" s="24" t="n">
        <f aca="false">IF(COUNTIF(D43:K43,"?")=8,"n/a",COUNTIF(D43:K43,"Yes")+0.5*COUNTIF(D43:K43,"Partial"))</f>
        <v>5.5</v>
      </c>
      <c r="M43" s="25" t="n">
        <f aca="false">IFERROR(INDEX('Priority list'!$A$5:$A$200,MATCH(A43,'Priority list'!$B$5:$B$200,0)),IF(C43="Done","Done","-"))</f>
        <v>9</v>
      </c>
    </row>
    <row r="44" customFormat="false" ht="15" hidden="false" customHeight="true" outlineLevel="0" collapsed="false">
      <c r="A44" s="6" t="s">
        <v>209</v>
      </c>
      <c r="B44" s="20" t="s">
        <v>170</v>
      </c>
      <c r="C44" s="21" t="s">
        <v>12</v>
      </c>
      <c r="D44" s="22" t="s">
        <v>171</v>
      </c>
      <c r="E44" s="22" t="s">
        <v>171</v>
      </c>
      <c r="F44" s="29" t="s">
        <v>175</v>
      </c>
      <c r="G44" s="22" t="s">
        <v>171</v>
      </c>
      <c r="H44" s="22" t="s">
        <v>171</v>
      </c>
      <c r="I44" s="22" t="s">
        <v>171</v>
      </c>
      <c r="J44" s="22" t="s">
        <v>171</v>
      </c>
      <c r="K44" s="22" t="s">
        <v>171</v>
      </c>
      <c r="L44" s="24" t="n">
        <f aca="false">IF(COUNTIF(D44:K44,"?")=8,"n/a",COUNTIF(D44:K44,"Yes")+0.5*COUNTIF(D44:K44,"Partial"))</f>
        <v>7</v>
      </c>
      <c r="M44" s="25" t="str">
        <f aca="false">IFERROR(INDEX('Priority list'!$A$5:$A$200,MATCH(A44,'Priority list'!$B$5:$B$200,0)),IF(C44="Done","Done","-"))</f>
        <v>Done</v>
      </c>
    </row>
    <row r="45" customFormat="false" ht="15" hidden="false" customHeight="true" outlineLevel="0" collapsed="false">
      <c r="A45" s="6" t="s">
        <v>210</v>
      </c>
      <c r="B45" s="26" t="s">
        <v>53</v>
      </c>
      <c r="C45" s="26" t="s">
        <v>191</v>
      </c>
      <c r="D45" s="22" t="s">
        <v>171</v>
      </c>
      <c r="E45" s="29" t="s">
        <v>175</v>
      </c>
      <c r="F45" s="23" t="s">
        <v>172</v>
      </c>
      <c r="G45" s="23" t="s">
        <v>172</v>
      </c>
      <c r="H45" s="22" t="s">
        <v>171</v>
      </c>
      <c r="I45" s="22" t="s">
        <v>171</v>
      </c>
      <c r="J45" s="22" t="s">
        <v>171</v>
      </c>
      <c r="K45" s="22" t="s">
        <v>171</v>
      </c>
      <c r="L45" s="24" t="n">
        <f aca="false">IF(COUNTIF(D45:K45,"?")=8,"n/a",COUNTIF(D45:K45,"Yes")+0.5*COUNTIF(D45:K45,"Partial"))</f>
        <v>5</v>
      </c>
      <c r="M45" s="25" t="n">
        <f aca="false">IFERROR(INDEX('Priority list'!$A$5:$A$200,MATCH(A45,'Priority list'!$B$5:$B$200,0)),IF(C45="Done","Done","-"))</f>
        <v>13</v>
      </c>
    </row>
    <row r="46" customFormat="false" ht="15" hidden="false" customHeight="true" outlineLevel="0" collapsed="false">
      <c r="A46" s="6" t="s">
        <v>211</v>
      </c>
      <c r="B46" s="20" t="s">
        <v>170</v>
      </c>
      <c r="C46" s="21" t="s">
        <v>12</v>
      </c>
      <c r="D46" s="22" t="s">
        <v>171</v>
      </c>
      <c r="E46" s="22" t="s">
        <v>171</v>
      </c>
      <c r="F46" s="29" t="s">
        <v>175</v>
      </c>
      <c r="G46" s="22" t="s">
        <v>171</v>
      </c>
      <c r="H46" s="22" t="s">
        <v>171</v>
      </c>
      <c r="I46" s="22" t="s">
        <v>171</v>
      </c>
      <c r="J46" s="22" t="s">
        <v>171</v>
      </c>
      <c r="K46" s="22" t="s">
        <v>171</v>
      </c>
      <c r="L46" s="24" t="n">
        <f aca="false">IF(COUNTIF(D46:K46,"?")=8,"n/a",COUNTIF(D46:K46,"Yes")+0.5*COUNTIF(D46:K46,"Partial"))</f>
        <v>7</v>
      </c>
      <c r="M46" s="25" t="str">
        <f aca="false">IFERROR(INDEX('Priority list'!$A$5:$A$200,MATCH(A46,'Priority list'!$B$5:$B$200,0)),IF(C46="Done","Done","-"))</f>
        <v>Done</v>
      </c>
    </row>
    <row r="47" customFormat="false" ht="15" hidden="false" customHeight="true" outlineLevel="0" collapsed="false">
      <c r="A47" s="6" t="s">
        <v>212</v>
      </c>
      <c r="B47" s="20" t="s">
        <v>170</v>
      </c>
      <c r="C47" s="21" t="s">
        <v>12</v>
      </c>
      <c r="D47" s="28" t="s">
        <v>31</v>
      </c>
      <c r="E47" s="22" t="s">
        <v>171</v>
      </c>
      <c r="F47" s="23" t="s">
        <v>172</v>
      </c>
      <c r="G47" s="22" t="s">
        <v>171</v>
      </c>
      <c r="H47" s="28" t="s">
        <v>31</v>
      </c>
      <c r="I47" s="22" t="s">
        <v>171</v>
      </c>
      <c r="J47" s="22" t="s">
        <v>171</v>
      </c>
      <c r="K47" s="28" t="s">
        <v>31</v>
      </c>
      <c r="L47" s="24" t="n">
        <f aca="false">IF(COUNTIF(D47:K47,"?")=8,"n/a",COUNTIF(D47:K47,"Yes")+0.5*COUNTIF(D47:K47,"Partial"))</f>
        <v>5.5</v>
      </c>
      <c r="M47" s="25" t="str">
        <f aca="false">IFERROR(INDEX('Priority list'!$A$5:$A$200,MATCH(A47,'Priority list'!$B$5:$B$200,0)),IF(C47="Done","Done","-"))</f>
        <v>Done</v>
      </c>
    </row>
    <row r="48" customFormat="false" ht="15" hidden="false" customHeight="true" outlineLevel="0" collapsed="false">
      <c r="A48" s="6" t="s">
        <v>213</v>
      </c>
      <c r="B48" s="26" t="s">
        <v>45</v>
      </c>
      <c r="C48" s="27" t="s">
        <v>31</v>
      </c>
      <c r="D48" s="23" t="s">
        <v>172</v>
      </c>
      <c r="E48" s="22" t="s">
        <v>171</v>
      </c>
      <c r="F48" s="23" t="s">
        <v>172</v>
      </c>
      <c r="G48" s="28" t="s">
        <v>31</v>
      </c>
      <c r="H48" s="23" t="s">
        <v>172</v>
      </c>
      <c r="I48" s="22" t="s">
        <v>171</v>
      </c>
      <c r="J48" s="22" t="s">
        <v>171</v>
      </c>
      <c r="K48" s="23" t="s">
        <v>172</v>
      </c>
      <c r="L48" s="24" t="n">
        <f aca="false">IF(COUNTIF(D48:K48,"?")=8,"n/a",COUNTIF(D48:K48,"Yes")+0.5*COUNTIF(D48:K48,"Partial"))</f>
        <v>3.5</v>
      </c>
      <c r="M48" s="25" t="n">
        <f aca="false">IFERROR(INDEX('Priority list'!$A$5:$A$200,MATCH(A48,'Priority list'!$B$5:$B$200,0)),IF(C48="Done","Done","-"))</f>
        <v>18</v>
      </c>
    </row>
    <row r="49" customFormat="false" ht="15" hidden="false" customHeight="true" outlineLevel="0" collapsed="false">
      <c r="A49" s="6" t="s">
        <v>214</v>
      </c>
      <c r="B49" s="26" t="s">
        <v>53</v>
      </c>
      <c r="C49" s="26" t="s">
        <v>191</v>
      </c>
      <c r="D49" s="23" t="s">
        <v>172</v>
      </c>
      <c r="E49" s="22" t="s">
        <v>171</v>
      </c>
      <c r="F49" s="23" t="s">
        <v>172</v>
      </c>
      <c r="G49" s="23" t="s">
        <v>172</v>
      </c>
      <c r="H49" s="28" t="s">
        <v>31</v>
      </c>
      <c r="I49" s="22" t="s">
        <v>171</v>
      </c>
      <c r="J49" s="22" t="s">
        <v>171</v>
      </c>
      <c r="K49" s="23" t="s">
        <v>172</v>
      </c>
      <c r="L49" s="24" t="n">
        <f aca="false">IF(COUNTIF(D49:K49,"?")=8,"n/a",COUNTIF(D49:K49,"Yes")+0.5*COUNTIF(D49:K49,"Partial"))</f>
        <v>3.5</v>
      </c>
      <c r="M49" s="25" t="n">
        <f aca="false">IFERROR(INDEX('Priority list'!$A$5:$A$200,MATCH(A49,'Priority list'!$B$5:$B$200,0)),IF(C49="Done","Done","-"))</f>
        <v>19</v>
      </c>
    </row>
    <row r="50" customFormat="false" ht="15" hidden="false" customHeight="true" outlineLevel="0" collapsed="false">
      <c r="A50" s="6" t="s">
        <v>215</v>
      </c>
      <c r="B50" s="26" t="s">
        <v>53</v>
      </c>
      <c r="C50" s="26" t="s">
        <v>191</v>
      </c>
      <c r="D50" s="23" t="s">
        <v>172</v>
      </c>
      <c r="E50" s="23" t="s">
        <v>172</v>
      </c>
      <c r="F50" s="23" t="s">
        <v>172</v>
      </c>
      <c r="G50" s="23" t="s">
        <v>172</v>
      </c>
      <c r="H50" s="23" t="s">
        <v>172</v>
      </c>
      <c r="I50" s="22" t="s">
        <v>171</v>
      </c>
      <c r="J50" s="22" t="s">
        <v>171</v>
      </c>
      <c r="K50" s="23" t="s">
        <v>172</v>
      </c>
      <c r="L50" s="24" t="n">
        <f aca="false">IF(COUNTIF(D50:K50,"?")=8,"n/a",COUNTIF(D50:K50,"Yes")+0.5*COUNTIF(D50:K50,"Partial"))</f>
        <v>2</v>
      </c>
      <c r="M50" s="25" t="n">
        <f aca="false">IFERROR(INDEX('Priority list'!$A$5:$A$200,MATCH(A50,'Priority list'!$B$5:$B$200,0)),IF(C50="Done","Done","-"))</f>
        <v>26</v>
      </c>
    </row>
    <row r="51" customFormat="false" ht="15" hidden="false" customHeight="true" outlineLevel="0" collapsed="false">
      <c r="A51" s="6" t="s">
        <v>216</v>
      </c>
      <c r="B51" s="26" t="s">
        <v>53</v>
      </c>
      <c r="C51" s="26" t="s">
        <v>191</v>
      </c>
      <c r="D51" s="22" t="s">
        <v>171</v>
      </c>
      <c r="E51" s="29" t="s">
        <v>175</v>
      </c>
      <c r="F51" s="23" t="s">
        <v>172</v>
      </c>
      <c r="G51" s="23" t="s">
        <v>172</v>
      </c>
      <c r="H51" s="22" t="s">
        <v>171</v>
      </c>
      <c r="I51" s="22" t="s">
        <v>171</v>
      </c>
      <c r="J51" s="22" t="s">
        <v>171</v>
      </c>
      <c r="K51" s="22" t="s">
        <v>171</v>
      </c>
      <c r="L51" s="24" t="n">
        <f aca="false">IF(COUNTIF(D51:K51,"?")=8,"n/a",COUNTIF(D51:K51,"Yes")+0.5*COUNTIF(D51:K51,"Partial"))</f>
        <v>5</v>
      </c>
      <c r="M51" s="25" t="n">
        <f aca="false">IFERROR(INDEX('Priority list'!$A$5:$A$200,MATCH(A51,'Priority list'!$B$5:$B$200,0)),IF(C51="Done","Done","-"))</f>
        <v>12</v>
      </c>
    </row>
    <row r="52" customFormat="false" ht="15" hidden="false" customHeight="true" outlineLevel="0" collapsed="false">
      <c r="A52" s="6" t="s">
        <v>217</v>
      </c>
      <c r="B52" s="26" t="s">
        <v>53</v>
      </c>
      <c r="C52" s="26" t="s">
        <v>191</v>
      </c>
      <c r="D52" s="28" t="s">
        <v>31</v>
      </c>
      <c r="E52" s="29" t="s">
        <v>175</v>
      </c>
      <c r="F52" s="23" t="s">
        <v>172</v>
      </c>
      <c r="G52" s="23" t="s">
        <v>172</v>
      </c>
      <c r="H52" s="22" t="s">
        <v>171</v>
      </c>
      <c r="I52" s="22" t="s">
        <v>171</v>
      </c>
      <c r="J52" s="22" t="s">
        <v>171</v>
      </c>
      <c r="K52" s="22" t="s">
        <v>171</v>
      </c>
      <c r="L52" s="24" t="n">
        <f aca="false">IF(COUNTIF(D52:K52,"?")=8,"n/a",COUNTIF(D52:K52,"Yes")+0.5*COUNTIF(D52:K52,"Partial"))</f>
        <v>4.5</v>
      </c>
      <c r="M52" s="25" t="n">
        <f aca="false">IFERROR(INDEX('Priority list'!$A$5:$A$200,MATCH(A52,'Priority list'!$B$5:$B$200,0)),IF(C52="Done","Done","-"))</f>
        <v>17</v>
      </c>
    </row>
    <row r="53" customFormat="false" ht="15" hidden="false" customHeight="true" outlineLevel="0" collapsed="false">
      <c r="A53" s="18" t="s">
        <v>218</v>
      </c>
      <c r="B53" s="18"/>
      <c r="C53" s="18"/>
      <c r="D53" s="18"/>
      <c r="E53" s="18"/>
      <c r="F53" s="18"/>
      <c r="G53" s="18"/>
      <c r="H53" s="18"/>
      <c r="I53" s="18"/>
      <c r="J53" s="18"/>
      <c r="K53" s="18"/>
      <c r="L53" s="19"/>
      <c r="M53" s="19"/>
    </row>
    <row r="54" customFormat="false" ht="15" hidden="false" customHeight="true" outlineLevel="0" collapsed="false">
      <c r="A54" s="6" t="s">
        <v>219</v>
      </c>
      <c r="B54" s="20" t="s">
        <v>170</v>
      </c>
      <c r="C54" s="21" t="s">
        <v>12</v>
      </c>
      <c r="D54" s="23" t="s">
        <v>172</v>
      </c>
      <c r="E54" s="22" t="s">
        <v>171</v>
      </c>
      <c r="F54" s="23" t="s">
        <v>172</v>
      </c>
      <c r="G54" s="23" t="s">
        <v>172</v>
      </c>
      <c r="H54" s="28" t="s">
        <v>31</v>
      </c>
      <c r="I54" s="28" t="s">
        <v>31</v>
      </c>
      <c r="J54" s="22" t="s">
        <v>171</v>
      </c>
      <c r="K54" s="23" t="s">
        <v>172</v>
      </c>
      <c r="L54" s="24" t="n">
        <f aca="false">IF(COUNTIF(D54:K54,"?")=8,"n/a",COUNTIF(D54:K54,"Yes")+0.5*COUNTIF(D54:K54,"Partial"))</f>
        <v>3</v>
      </c>
      <c r="M54" s="25" t="str">
        <f aca="false">IFERROR(INDEX('Priority list'!$A$5:$A$200,MATCH(A54,'Priority list'!$B$5:$B$200,0)),IF(C54="Done","Done","-"))</f>
        <v>Done</v>
      </c>
    </row>
    <row r="55" customFormat="false" ht="15" hidden="false" customHeight="true" outlineLevel="0" collapsed="false">
      <c r="A55" s="6" t="s">
        <v>220</v>
      </c>
      <c r="B55" s="26" t="s">
        <v>45</v>
      </c>
      <c r="C55" s="26" t="s">
        <v>191</v>
      </c>
      <c r="D55" s="22" t="s">
        <v>171</v>
      </c>
      <c r="E55" s="22" t="s">
        <v>171</v>
      </c>
      <c r="F55" s="23" t="s">
        <v>172</v>
      </c>
      <c r="G55" s="23" t="s">
        <v>172</v>
      </c>
      <c r="H55" s="22" t="s">
        <v>171</v>
      </c>
      <c r="I55" s="22" t="s">
        <v>171</v>
      </c>
      <c r="J55" s="22" t="s">
        <v>171</v>
      </c>
      <c r="K55" s="22" t="s">
        <v>171</v>
      </c>
      <c r="L55" s="24" t="n">
        <f aca="false">IF(COUNTIF(D55:K55,"?")=8,"n/a",COUNTIF(D55:K55,"Yes")+0.5*COUNTIF(D55:K55,"Partial"))</f>
        <v>6</v>
      </c>
      <c r="M55" s="25" t="n">
        <f aca="false">IFERROR(INDEX('Priority list'!$A$5:$A$200,MATCH(A55,'Priority list'!$B$5:$B$200,0)),IF(C55="Done","Done","-"))</f>
        <v>6</v>
      </c>
    </row>
    <row r="56" customFormat="false" ht="15" hidden="false" customHeight="true" outlineLevel="0" collapsed="false">
      <c r="A56" s="6" t="s">
        <v>221</v>
      </c>
      <c r="B56" s="26" t="s">
        <v>69</v>
      </c>
      <c r="C56" s="26" t="s">
        <v>191</v>
      </c>
      <c r="D56" s="23" t="s">
        <v>172</v>
      </c>
      <c r="E56" s="23" t="s">
        <v>172</v>
      </c>
      <c r="F56" s="23" t="s">
        <v>172</v>
      </c>
      <c r="G56" s="23" t="s">
        <v>172</v>
      </c>
      <c r="H56" s="28" t="s">
        <v>31</v>
      </c>
      <c r="I56" s="23" t="s">
        <v>172</v>
      </c>
      <c r="J56" s="22" t="s">
        <v>171</v>
      </c>
      <c r="K56" s="23" t="s">
        <v>172</v>
      </c>
      <c r="L56" s="24" t="n">
        <f aca="false">IF(COUNTIF(D56:K56,"?")=8,"n/a",COUNTIF(D56:K56,"Yes")+0.5*COUNTIF(D56:K56,"Partial"))</f>
        <v>1.5</v>
      </c>
      <c r="M56" s="25" t="n">
        <f aca="false">IFERROR(INDEX('Priority list'!$A$5:$A$200,MATCH(A56,'Priority list'!$B$5:$B$200,0)),IF(C56="Done","Done","-"))</f>
        <v>28</v>
      </c>
    </row>
    <row r="57" customFormat="false" ht="15" hidden="false" customHeight="true" outlineLevel="0" collapsed="false">
      <c r="A57" s="6" t="s">
        <v>222</v>
      </c>
      <c r="B57" s="26" t="s">
        <v>69</v>
      </c>
      <c r="C57" s="26" t="s">
        <v>31</v>
      </c>
      <c r="D57" s="23" t="s">
        <v>172</v>
      </c>
      <c r="E57" s="29" t="s">
        <v>175</v>
      </c>
      <c r="F57" s="23" t="s">
        <v>172</v>
      </c>
      <c r="G57" s="23" t="s">
        <v>172</v>
      </c>
      <c r="H57" s="23" t="s">
        <v>172</v>
      </c>
      <c r="I57" s="29" t="s">
        <v>175</v>
      </c>
      <c r="J57" s="22" t="s">
        <v>171</v>
      </c>
      <c r="K57" s="23" t="s">
        <v>172</v>
      </c>
      <c r="L57" s="24" t="n">
        <f aca="false">IF(COUNTIF(D57:K57,"?")=8,"n/a",COUNTIF(D57:K57,"Yes")+0.5*COUNTIF(D57:K57,"Partial"))</f>
        <v>1</v>
      </c>
      <c r="M57" s="25" t="n">
        <f aca="false">IFERROR(INDEX('Priority list'!$A$5:$A$200,MATCH(A57,'Priority list'!$B$5:$B$200,0)),IF(C57="Done","Done","-"))</f>
        <v>29</v>
      </c>
    </row>
    <row r="58" customFormat="false" ht="15" hidden="false" customHeight="true" outlineLevel="0" collapsed="false">
      <c r="A58" s="6" t="s">
        <v>223</v>
      </c>
      <c r="B58" s="20" t="s">
        <v>11</v>
      </c>
      <c r="C58" s="30" t="s">
        <v>224</v>
      </c>
      <c r="D58" s="28" t="s">
        <v>31</v>
      </c>
      <c r="E58" s="23" t="s">
        <v>172</v>
      </c>
      <c r="F58" s="23" t="s">
        <v>172</v>
      </c>
      <c r="G58" s="23" t="s">
        <v>172</v>
      </c>
      <c r="H58" s="22" t="s">
        <v>171</v>
      </c>
      <c r="I58" s="23" t="s">
        <v>172</v>
      </c>
      <c r="J58" s="23" t="s">
        <v>172</v>
      </c>
      <c r="K58" s="22" t="s">
        <v>171</v>
      </c>
      <c r="L58" s="24" t="n">
        <f aca="false">IF(COUNTIF(D58:K58,"?")=8,"n/a",COUNTIF(D58:K58,"Yes")+0.5*COUNTIF(D58:K58,"Partial"))</f>
        <v>2.5</v>
      </c>
      <c r="M58" s="25" t="str">
        <f aca="false">IFERROR(INDEX('Priority list'!$A$5:$A$200,MATCH(A58,'Priority list'!$B$5:$B$200,0)),IF(C58="Done","Done","-"))</f>
        <v>-</v>
      </c>
    </row>
    <row r="59" customFormat="false" ht="15" hidden="false" customHeight="true" outlineLevel="0" collapsed="false">
      <c r="A59" s="6" t="s">
        <v>225</v>
      </c>
      <c r="B59" s="20" t="s">
        <v>11</v>
      </c>
      <c r="C59" s="30" t="s">
        <v>224</v>
      </c>
      <c r="D59" s="22" t="s">
        <v>171</v>
      </c>
      <c r="E59" s="23" t="s">
        <v>172</v>
      </c>
      <c r="F59" s="23" t="s">
        <v>172</v>
      </c>
      <c r="G59" s="23" t="s">
        <v>172</v>
      </c>
      <c r="H59" s="22" t="s">
        <v>171</v>
      </c>
      <c r="I59" s="23" t="s">
        <v>172</v>
      </c>
      <c r="J59" s="23" t="s">
        <v>172</v>
      </c>
      <c r="K59" s="22" t="s">
        <v>171</v>
      </c>
      <c r="L59" s="24" t="n">
        <f aca="false">IF(COUNTIF(D59:K59,"?")=8,"n/a",COUNTIF(D59:K59,"Yes")+0.5*COUNTIF(D59:K59,"Partial"))</f>
        <v>3</v>
      </c>
      <c r="M59" s="25" t="str">
        <f aca="false">IFERROR(INDEX('Priority list'!$A$5:$A$200,MATCH(A59,'Priority list'!$B$5:$B$200,0)),IF(C59="Done","Done","-"))</f>
        <v>-</v>
      </c>
    </row>
    <row r="60" customFormat="false" ht="15" hidden="false" customHeight="true" outlineLevel="0" collapsed="false">
      <c r="A60" s="18" t="s">
        <v>226</v>
      </c>
      <c r="B60" s="18"/>
      <c r="C60" s="18"/>
      <c r="D60" s="18"/>
      <c r="E60" s="18"/>
      <c r="F60" s="18"/>
      <c r="G60" s="18"/>
      <c r="H60" s="18"/>
      <c r="I60" s="18"/>
      <c r="J60" s="18"/>
      <c r="K60" s="18"/>
      <c r="L60" s="19"/>
      <c r="M60" s="19"/>
    </row>
    <row r="61" customFormat="false" ht="15" hidden="false" customHeight="true" outlineLevel="0" collapsed="false">
      <c r="A61" s="6" t="s">
        <v>227</v>
      </c>
      <c r="B61" s="20" t="s">
        <v>170</v>
      </c>
      <c r="C61" s="21" t="s">
        <v>12</v>
      </c>
      <c r="D61" s="22" t="s">
        <v>171</v>
      </c>
      <c r="E61" s="22" t="s">
        <v>171</v>
      </c>
      <c r="F61" s="28" t="s">
        <v>31</v>
      </c>
      <c r="G61" s="28" t="s">
        <v>31</v>
      </c>
      <c r="H61" s="22" t="s">
        <v>171</v>
      </c>
      <c r="I61" s="22" t="s">
        <v>171</v>
      </c>
      <c r="J61" s="22" t="s">
        <v>171</v>
      </c>
      <c r="K61" s="22" t="s">
        <v>171</v>
      </c>
      <c r="L61" s="24" t="n">
        <f aca="false">IF(COUNTIF(D61:K61,"?")=8,"n/a",COUNTIF(D61:K61,"Yes")+0.5*COUNTIF(D61:K61,"Partial"))</f>
        <v>7</v>
      </c>
      <c r="M61" s="25" t="str">
        <f aca="false">IFERROR(INDEX('Priority list'!$A$5:$A$200,MATCH(A61,'Priority list'!$B$5:$B$200,0)),IF(C61="Done","Done","-"))</f>
        <v>Done</v>
      </c>
    </row>
    <row r="62" customFormat="false" ht="15" hidden="false" customHeight="true" outlineLevel="0" collapsed="false">
      <c r="A62" s="6" t="s">
        <v>228</v>
      </c>
      <c r="B62" s="20" t="s">
        <v>170</v>
      </c>
      <c r="C62" s="21" t="s">
        <v>12</v>
      </c>
      <c r="D62" s="23" t="s">
        <v>172</v>
      </c>
      <c r="E62" s="23" t="s">
        <v>172</v>
      </c>
      <c r="F62" s="23" t="s">
        <v>172</v>
      </c>
      <c r="G62" s="23" t="s">
        <v>172</v>
      </c>
      <c r="H62" s="22" t="s">
        <v>171</v>
      </c>
      <c r="I62" s="23" t="s">
        <v>172</v>
      </c>
      <c r="J62" s="23" t="s">
        <v>172</v>
      </c>
      <c r="K62" s="22" t="s">
        <v>171</v>
      </c>
      <c r="L62" s="24" t="n">
        <f aca="false">IF(COUNTIF(D62:K62,"?")=8,"n/a",COUNTIF(D62:K62,"Yes")+0.5*COUNTIF(D62:K62,"Partial"))</f>
        <v>2</v>
      </c>
      <c r="M62" s="25" t="str">
        <f aca="false">IFERROR(INDEX('Priority list'!$A$5:$A$200,MATCH(A62,'Priority list'!$B$5:$B$200,0)),IF(C62="Done","Done","-"))</f>
        <v>Done</v>
      </c>
    </row>
    <row r="63" customFormat="false" ht="15" hidden="false" customHeight="true" outlineLevel="0" collapsed="false">
      <c r="A63" s="6" t="s">
        <v>229</v>
      </c>
      <c r="B63" s="20" t="s">
        <v>170</v>
      </c>
      <c r="C63" s="21" t="s">
        <v>12</v>
      </c>
      <c r="D63" s="28" t="s">
        <v>31</v>
      </c>
      <c r="E63" s="22" t="s">
        <v>171</v>
      </c>
      <c r="F63" s="29" t="s">
        <v>175</v>
      </c>
      <c r="G63" s="22" t="s">
        <v>171</v>
      </c>
      <c r="H63" s="22" t="s">
        <v>171</v>
      </c>
      <c r="I63" s="22" t="s">
        <v>171</v>
      </c>
      <c r="J63" s="22" t="s">
        <v>171</v>
      </c>
      <c r="K63" s="22" t="s">
        <v>171</v>
      </c>
      <c r="L63" s="24" t="n">
        <f aca="false">IF(COUNTIF(D63:K63,"?")=8,"n/a",COUNTIF(D63:K63,"Yes")+0.5*COUNTIF(D63:K63,"Partial"))</f>
        <v>6.5</v>
      </c>
      <c r="M63" s="25" t="str">
        <f aca="false">IFERROR(INDEX('Priority list'!$A$5:$A$200,MATCH(A63,'Priority list'!$B$5:$B$200,0)),IF(C63="Done","Done","-"))</f>
        <v>Done</v>
      </c>
    </row>
    <row r="64" customFormat="false" ht="15" hidden="false" customHeight="true" outlineLevel="0" collapsed="false">
      <c r="A64" s="6" t="s">
        <v>230</v>
      </c>
      <c r="B64" s="20" t="s">
        <v>170</v>
      </c>
      <c r="C64" s="21" t="s">
        <v>12</v>
      </c>
      <c r="D64" s="22" t="s">
        <v>171</v>
      </c>
      <c r="E64" s="22" t="s">
        <v>171</v>
      </c>
      <c r="F64" s="28" t="s">
        <v>31</v>
      </c>
      <c r="G64" s="28" t="s">
        <v>31</v>
      </c>
      <c r="H64" s="22" t="s">
        <v>171</v>
      </c>
      <c r="I64" s="22" t="s">
        <v>171</v>
      </c>
      <c r="J64" s="22" t="s">
        <v>171</v>
      </c>
      <c r="K64" s="22" t="s">
        <v>171</v>
      </c>
      <c r="L64" s="24" t="n">
        <f aca="false">IF(COUNTIF(D64:K64,"?")=8,"n/a",COUNTIF(D64:K64,"Yes")+0.5*COUNTIF(D64:K64,"Partial"))</f>
        <v>7</v>
      </c>
      <c r="M64" s="25" t="str">
        <f aca="false">IFERROR(INDEX('Priority list'!$A$5:$A$200,MATCH(A64,'Priority list'!$B$5:$B$200,0)),IF(C64="Done","Done","-"))</f>
        <v>Done</v>
      </c>
    </row>
    <row r="65" customFormat="false" ht="15" hidden="false" customHeight="true" outlineLevel="0" collapsed="false">
      <c r="A65" s="6" t="s">
        <v>231</v>
      </c>
      <c r="B65" s="20" t="s">
        <v>170</v>
      </c>
      <c r="C65" s="21" t="s">
        <v>12</v>
      </c>
      <c r="D65" s="23" t="s">
        <v>172</v>
      </c>
      <c r="E65" s="23" t="s">
        <v>172</v>
      </c>
      <c r="F65" s="28" t="s">
        <v>31</v>
      </c>
      <c r="G65" s="22" t="s">
        <v>171</v>
      </c>
      <c r="H65" s="23" t="s">
        <v>172</v>
      </c>
      <c r="I65" s="23" t="s">
        <v>172</v>
      </c>
      <c r="J65" s="23" t="s">
        <v>172</v>
      </c>
      <c r="K65" s="23" t="s">
        <v>172</v>
      </c>
      <c r="L65" s="24" t="n">
        <f aca="false">IF(COUNTIF(D65:K65,"?")=8,"n/a",COUNTIF(D65:K65,"Yes")+0.5*COUNTIF(D65:K65,"Partial"))</f>
        <v>1.5</v>
      </c>
      <c r="M65" s="25" t="str">
        <f aca="false">IFERROR(INDEX('Priority list'!$A$5:$A$200,MATCH(A65,'Priority list'!$B$5:$B$200,0)),IF(C65="Done","Done","-"))</f>
        <v>Done</v>
      </c>
    </row>
    <row r="66" customFormat="false" ht="15" hidden="false" customHeight="true" outlineLevel="0" collapsed="false">
      <c r="A66" s="6" t="s">
        <v>232</v>
      </c>
      <c r="B66" s="26" t="s">
        <v>45</v>
      </c>
      <c r="C66" s="27" t="s">
        <v>31</v>
      </c>
      <c r="D66" s="22" t="s">
        <v>171</v>
      </c>
      <c r="E66" s="22" t="s">
        <v>171</v>
      </c>
      <c r="F66" s="28" t="s">
        <v>31</v>
      </c>
      <c r="G66" s="28" t="s">
        <v>31</v>
      </c>
      <c r="H66" s="22" t="s">
        <v>171</v>
      </c>
      <c r="I66" s="22" t="s">
        <v>171</v>
      </c>
      <c r="J66" s="22" t="s">
        <v>171</v>
      </c>
      <c r="K66" s="22" t="s">
        <v>171</v>
      </c>
      <c r="L66" s="24" t="n">
        <f aca="false">IF(COUNTIF(D66:K66,"?")=8,"n/a",COUNTIF(D66:K66,"Yes")+0.5*COUNTIF(D66:K66,"Partial"))</f>
        <v>7</v>
      </c>
      <c r="M66" s="25" t="n">
        <f aca="false">IFERROR(INDEX('Priority list'!$A$5:$A$200,MATCH(A66,'Priority list'!$B$5:$B$200,0)),IF(C66="Done","Done","-"))</f>
        <v>5</v>
      </c>
    </row>
    <row r="67" customFormat="false" ht="15" hidden="false" customHeight="true" outlineLevel="0" collapsed="false">
      <c r="A67" s="6" t="s">
        <v>233</v>
      </c>
      <c r="B67" s="20" t="s">
        <v>45</v>
      </c>
      <c r="C67" s="21" t="s">
        <v>12</v>
      </c>
      <c r="D67" s="22" t="s">
        <v>171</v>
      </c>
      <c r="E67" s="22" t="s">
        <v>171</v>
      </c>
      <c r="F67" s="29" t="s">
        <v>175</v>
      </c>
      <c r="G67" s="22" t="s">
        <v>171</v>
      </c>
      <c r="H67" s="22" t="s">
        <v>171</v>
      </c>
      <c r="I67" s="22" t="s">
        <v>171</v>
      </c>
      <c r="J67" s="22" t="s">
        <v>171</v>
      </c>
      <c r="K67" s="22" t="s">
        <v>171</v>
      </c>
      <c r="L67" s="24" t="n">
        <f aca="false">IF(COUNTIF(D67:K67,"?")=8,"n/a",COUNTIF(D67:K67,"Yes")+0.5*COUNTIF(D67:K67,"Partial"))</f>
        <v>7</v>
      </c>
      <c r="M67" s="25" t="str">
        <f aca="false">IFERROR(INDEX('Priority list'!$A$5:$A$200,MATCH(A67,'Priority list'!$B$5:$B$200,0)),IF(C67="Done","Done","-"))</f>
        <v>Done</v>
      </c>
    </row>
    <row r="68" customFormat="false" ht="15" hidden="false" customHeight="true" outlineLevel="0" collapsed="false">
      <c r="A68" s="6" t="s">
        <v>234</v>
      </c>
      <c r="B68" s="26" t="s">
        <v>43</v>
      </c>
      <c r="C68" s="26" t="s">
        <v>31</v>
      </c>
      <c r="D68" s="28" t="s">
        <v>31</v>
      </c>
      <c r="E68" s="22" t="s">
        <v>171</v>
      </c>
      <c r="F68" s="28" t="s">
        <v>31</v>
      </c>
      <c r="G68" s="22" t="s">
        <v>171</v>
      </c>
      <c r="H68" s="22" t="s">
        <v>171</v>
      </c>
      <c r="I68" s="22" t="s">
        <v>171</v>
      </c>
      <c r="J68" s="22" t="s">
        <v>171</v>
      </c>
      <c r="K68" s="22" t="s">
        <v>171</v>
      </c>
      <c r="L68" s="24" t="n">
        <f aca="false">IF(COUNTIF(D68:K68,"?")=8,"n/a",COUNTIF(D68:K68,"Yes")+0.5*COUNTIF(D68:K68,"Partial"))</f>
        <v>7</v>
      </c>
      <c r="M68" s="25" t="n">
        <f aca="false">IFERROR(INDEX('Priority list'!$A$5:$A$200,MATCH(A68,'Priority list'!$B$5:$B$200,0)),IF(C68="Done","Done","-"))</f>
        <v>4</v>
      </c>
    </row>
    <row r="69" customFormat="false" ht="15" hidden="false" customHeight="true" outlineLevel="0" collapsed="false">
      <c r="A69" s="6" t="s">
        <v>235</v>
      </c>
      <c r="B69" s="26" t="s">
        <v>45</v>
      </c>
      <c r="C69" s="27" t="s">
        <v>31</v>
      </c>
      <c r="D69" s="23" t="s">
        <v>172</v>
      </c>
      <c r="E69" s="28" t="s">
        <v>31</v>
      </c>
      <c r="F69" s="22" t="s">
        <v>171</v>
      </c>
      <c r="G69" s="22" t="s">
        <v>171</v>
      </c>
      <c r="H69" s="23" t="s">
        <v>172</v>
      </c>
      <c r="I69" s="23" t="s">
        <v>172</v>
      </c>
      <c r="J69" s="23" t="s">
        <v>172</v>
      </c>
      <c r="K69" s="23" t="s">
        <v>172</v>
      </c>
      <c r="L69" s="24" t="n">
        <f aca="false">IF(COUNTIF(D69:K69,"?")=8,"n/a",COUNTIF(D69:K69,"Yes")+0.5*COUNTIF(D69:K69,"Partial"))</f>
        <v>2.5</v>
      </c>
      <c r="M69" s="25" t="n">
        <f aca="false">IFERROR(INDEX('Priority list'!$A$5:$A$200,MATCH(A69,'Priority list'!$B$5:$B$200,0)),IF(C69="Done","Done","-"))</f>
        <v>23</v>
      </c>
    </row>
    <row r="70" customFormat="false" ht="15" hidden="false" customHeight="true" outlineLevel="0" collapsed="false">
      <c r="A70" s="18" t="s">
        <v>236</v>
      </c>
      <c r="B70" s="18"/>
      <c r="C70" s="18"/>
      <c r="D70" s="18"/>
      <c r="E70" s="18"/>
      <c r="F70" s="18"/>
      <c r="G70" s="18"/>
      <c r="H70" s="18"/>
      <c r="I70" s="18"/>
      <c r="J70" s="18"/>
      <c r="K70" s="18"/>
      <c r="L70" s="19"/>
      <c r="M70" s="19"/>
    </row>
    <row r="71" customFormat="false" ht="15" hidden="false" customHeight="true" outlineLevel="0" collapsed="false">
      <c r="A71" s="6" t="s">
        <v>237</v>
      </c>
      <c r="B71" s="20" t="s">
        <v>170</v>
      </c>
      <c r="C71" s="21" t="s">
        <v>12</v>
      </c>
      <c r="D71" s="22" t="s">
        <v>171</v>
      </c>
      <c r="E71" s="23" t="s">
        <v>172</v>
      </c>
      <c r="F71" s="23" t="s">
        <v>172</v>
      </c>
      <c r="G71" s="23" t="s">
        <v>172</v>
      </c>
      <c r="H71" s="22" t="s">
        <v>171</v>
      </c>
      <c r="I71" s="28" t="s">
        <v>31</v>
      </c>
      <c r="J71" s="28" t="s">
        <v>31</v>
      </c>
      <c r="K71" s="22" t="s">
        <v>171</v>
      </c>
      <c r="L71" s="24" t="n">
        <f aca="false">IF(COUNTIF(D71:K71,"?")=8,"n/a",COUNTIF(D71:K71,"Yes")+0.5*COUNTIF(D71:K71,"Partial"))</f>
        <v>4</v>
      </c>
      <c r="M71" s="25" t="str">
        <f aca="false">IFERROR(INDEX('Priority list'!$A$5:$A$200,MATCH(A71,'Priority list'!$B$5:$B$200,0)),IF(C71="Done","Done","-"))</f>
        <v>Done</v>
      </c>
    </row>
    <row r="72" customFormat="false" ht="15" hidden="false" customHeight="true" outlineLevel="0" collapsed="false">
      <c r="A72" s="6" t="s">
        <v>238</v>
      </c>
      <c r="B72" s="20" t="s">
        <v>170</v>
      </c>
      <c r="C72" s="21" t="s">
        <v>12</v>
      </c>
      <c r="D72" s="23" t="s">
        <v>172</v>
      </c>
      <c r="E72" s="23" t="s">
        <v>172</v>
      </c>
      <c r="F72" s="23" t="s">
        <v>172</v>
      </c>
      <c r="G72" s="23" t="s">
        <v>172</v>
      </c>
      <c r="H72" s="23" t="s">
        <v>172</v>
      </c>
      <c r="I72" s="23" t="s">
        <v>172</v>
      </c>
      <c r="J72" s="23" t="s">
        <v>172</v>
      </c>
      <c r="K72" s="23" t="s">
        <v>172</v>
      </c>
      <c r="L72" s="24" t="n">
        <f aca="false">IF(COUNTIF(D72:K72,"?")=8,"n/a",COUNTIF(D72:K72,"Yes")+0.5*COUNTIF(D72:K72,"Partial"))</f>
        <v>0</v>
      </c>
      <c r="M72" s="25" t="str">
        <f aca="false">IFERROR(INDEX('Priority list'!$A$5:$A$200,MATCH(A72,'Priority list'!$B$5:$B$200,0)),IF(C72="Done","Done","-"))</f>
        <v>Done</v>
      </c>
    </row>
    <row r="73" customFormat="false" ht="15" hidden="false" customHeight="true" outlineLevel="0" collapsed="false">
      <c r="A73" s="6" t="s">
        <v>239</v>
      </c>
      <c r="B73" s="20" t="s">
        <v>170</v>
      </c>
      <c r="C73" s="21" t="s">
        <v>12</v>
      </c>
      <c r="D73" s="22" t="s">
        <v>171</v>
      </c>
      <c r="E73" s="23" t="s">
        <v>172</v>
      </c>
      <c r="F73" s="23" t="s">
        <v>172</v>
      </c>
      <c r="G73" s="23" t="s">
        <v>172</v>
      </c>
      <c r="H73" s="23" t="s">
        <v>172</v>
      </c>
      <c r="I73" s="23" t="s">
        <v>172</v>
      </c>
      <c r="J73" s="23" t="s">
        <v>172</v>
      </c>
      <c r="K73" s="23" t="s">
        <v>172</v>
      </c>
      <c r="L73" s="24" t="n">
        <f aca="false">IF(COUNTIF(D73:K73,"?")=8,"n/a",COUNTIF(D73:K73,"Yes")+0.5*COUNTIF(D73:K73,"Partial"))</f>
        <v>1</v>
      </c>
      <c r="M73" s="25" t="str">
        <f aca="false">IFERROR(INDEX('Priority list'!$A$5:$A$200,MATCH(A73,'Priority list'!$B$5:$B$200,0)),IF(C73="Done","Done","-"))</f>
        <v>Done</v>
      </c>
    </row>
    <row r="74" customFormat="false" ht="15" hidden="false" customHeight="true" outlineLevel="0" collapsed="false">
      <c r="A74" s="6" t="s">
        <v>240</v>
      </c>
      <c r="B74" s="26" t="s">
        <v>53</v>
      </c>
      <c r="C74" s="26" t="s">
        <v>191</v>
      </c>
      <c r="D74" s="28" t="s">
        <v>31</v>
      </c>
      <c r="E74" s="23" t="s">
        <v>172</v>
      </c>
      <c r="F74" s="23" t="s">
        <v>172</v>
      </c>
      <c r="G74" s="23" t="s">
        <v>172</v>
      </c>
      <c r="H74" s="22" t="s">
        <v>171</v>
      </c>
      <c r="I74" s="22" t="s">
        <v>171</v>
      </c>
      <c r="J74" s="22" t="s">
        <v>171</v>
      </c>
      <c r="K74" s="22" t="s">
        <v>171</v>
      </c>
      <c r="L74" s="24" t="n">
        <f aca="false">IF(COUNTIF(D74:K74,"?")=8,"n/a",COUNTIF(D74:K74,"Yes")+0.5*COUNTIF(D74:K74,"Partial"))</f>
        <v>4.5</v>
      </c>
      <c r="M74" s="25" t="n">
        <f aca="false">IFERROR(INDEX('Priority list'!$A$5:$A$200,MATCH(A74,'Priority list'!$B$5:$B$200,0)),IF(C74="Done","Done","-"))</f>
        <v>16</v>
      </c>
    </row>
    <row r="75" customFormat="false" ht="15" hidden="false" customHeight="true" outlineLevel="0" collapsed="false">
      <c r="A75" s="6" t="s">
        <v>241</v>
      </c>
      <c r="B75" s="26" t="s">
        <v>61</v>
      </c>
      <c r="C75" s="26" t="s">
        <v>191</v>
      </c>
      <c r="D75" s="23" t="s">
        <v>172</v>
      </c>
      <c r="E75" s="23" t="s">
        <v>172</v>
      </c>
      <c r="F75" s="29" t="s">
        <v>175</v>
      </c>
      <c r="G75" s="28" t="s">
        <v>31</v>
      </c>
      <c r="H75" s="23" t="s">
        <v>172</v>
      </c>
      <c r="I75" s="28" t="s">
        <v>31</v>
      </c>
      <c r="J75" s="28" t="s">
        <v>31</v>
      </c>
      <c r="K75" s="23" t="s">
        <v>172</v>
      </c>
      <c r="L75" s="24" t="n">
        <f aca="false">IF(COUNTIF(D75:K75,"?")=8,"n/a",COUNTIF(D75:K75,"Yes")+0.5*COUNTIF(D75:K75,"Partial"))</f>
        <v>1.5</v>
      </c>
      <c r="M75" s="25" t="n">
        <f aca="false">IFERROR(INDEX('Priority list'!$A$5:$A$200,MATCH(A75,'Priority list'!$B$5:$B$200,0)),IF(C75="Done","Done","-"))</f>
        <v>27</v>
      </c>
    </row>
    <row r="76" customFormat="false" ht="15" hidden="false" customHeight="true" outlineLevel="0" collapsed="false">
      <c r="A76" s="6" t="s">
        <v>242</v>
      </c>
      <c r="B76" s="26" t="s">
        <v>53</v>
      </c>
      <c r="C76" s="26" t="s">
        <v>191</v>
      </c>
      <c r="D76" s="23" t="s">
        <v>172</v>
      </c>
      <c r="E76" s="23" t="s">
        <v>172</v>
      </c>
      <c r="F76" s="23" t="s">
        <v>172</v>
      </c>
      <c r="G76" s="23" t="s">
        <v>172</v>
      </c>
      <c r="H76" s="23" t="s">
        <v>172</v>
      </c>
      <c r="I76" s="22" t="s">
        <v>171</v>
      </c>
      <c r="J76" s="22" t="s">
        <v>171</v>
      </c>
      <c r="K76" s="28" t="s">
        <v>31</v>
      </c>
      <c r="L76" s="24" t="n">
        <f aca="false">IF(COUNTIF(D76:K76,"?")=8,"n/a",COUNTIF(D76:K76,"Yes")+0.5*COUNTIF(D76:K76,"Partial"))</f>
        <v>2.5</v>
      </c>
      <c r="M76" s="25" t="n">
        <f aca="false">IFERROR(INDEX('Priority list'!$A$5:$A$200,MATCH(A76,'Priority list'!$B$5:$B$200,0)),IF(C76="Done","Done","-"))</f>
        <v>24</v>
      </c>
    </row>
    <row r="77" customFormat="false" ht="15" hidden="false" customHeight="true" outlineLevel="0" collapsed="false">
      <c r="A77" s="6" t="s">
        <v>243</v>
      </c>
      <c r="B77" s="20" t="s">
        <v>11</v>
      </c>
      <c r="C77" s="30" t="s">
        <v>224</v>
      </c>
      <c r="D77" s="23" t="s">
        <v>172</v>
      </c>
      <c r="E77" s="23" t="s">
        <v>172</v>
      </c>
      <c r="F77" s="29" t="s">
        <v>175</v>
      </c>
      <c r="G77" s="22" t="s">
        <v>171</v>
      </c>
      <c r="H77" s="22" t="s">
        <v>171</v>
      </c>
      <c r="I77" s="23" t="s">
        <v>172</v>
      </c>
      <c r="J77" s="23" t="s">
        <v>172</v>
      </c>
      <c r="K77" s="23" t="s">
        <v>172</v>
      </c>
      <c r="L77" s="24" t="n">
        <f aca="false">IF(COUNTIF(D77:K77,"?")=8,"n/a",COUNTIF(D77:K77,"Yes")+0.5*COUNTIF(D77:K77,"Partial"))</f>
        <v>2</v>
      </c>
      <c r="M77" s="25" t="str">
        <f aca="false">IFERROR(INDEX('Priority list'!$A$5:$A$200,MATCH(A77,'Priority list'!$B$5:$B$200,0)),IF(C77="Done","Done","-"))</f>
        <v>-</v>
      </c>
    </row>
    <row r="78" customFormat="false" ht="15" hidden="false" customHeight="true" outlineLevel="0" collapsed="false">
      <c r="A78" s="18" t="s">
        <v>244</v>
      </c>
      <c r="B78" s="18"/>
      <c r="C78" s="18"/>
      <c r="D78" s="18"/>
      <c r="E78" s="18"/>
      <c r="F78" s="18"/>
      <c r="G78" s="18"/>
      <c r="H78" s="18"/>
      <c r="I78" s="18"/>
      <c r="J78" s="18"/>
      <c r="K78" s="18"/>
      <c r="L78" s="19"/>
      <c r="M78" s="19"/>
    </row>
    <row r="79" customFormat="false" ht="15" hidden="false" customHeight="true" outlineLevel="0" collapsed="false">
      <c r="A79" s="6" t="s">
        <v>245</v>
      </c>
      <c r="B79" s="26" t="s">
        <v>70</v>
      </c>
      <c r="C79" s="26" t="s">
        <v>191</v>
      </c>
      <c r="D79" s="29" t="s">
        <v>175</v>
      </c>
      <c r="E79" s="29" t="s">
        <v>175</v>
      </c>
      <c r="F79" s="29" t="s">
        <v>175</v>
      </c>
      <c r="G79" s="29" t="s">
        <v>175</v>
      </c>
      <c r="H79" s="29" t="s">
        <v>175</v>
      </c>
      <c r="I79" s="29" t="s">
        <v>175</v>
      </c>
      <c r="J79" s="29" t="s">
        <v>175</v>
      </c>
      <c r="K79" s="29" t="s">
        <v>175</v>
      </c>
      <c r="L79" s="24" t="str">
        <f aca="false">IF(COUNTIF(D79:K79,"?")=8,"n/a",COUNTIF(D79:K79,"Yes")+0.5*COUNTIF(D79:K79,"Partial"))</f>
        <v>n/a</v>
      </c>
      <c r="M79" s="25" t="n">
        <f aca="false">IFERROR(INDEX('Priority list'!$A$5:$A$200,MATCH(A79,'Priority list'!$B$5:$B$200,0)),IF(C79="Done","Done","-"))</f>
        <v>32</v>
      </c>
    </row>
    <row r="80" customFormat="false" ht="23.25" hidden="false" customHeight="true" outlineLevel="0" collapsed="false">
      <c r="A80" s="6" t="s">
        <v>246</v>
      </c>
      <c r="B80" s="26" t="s">
        <v>70</v>
      </c>
      <c r="C80" s="26" t="s">
        <v>191</v>
      </c>
      <c r="D80" s="29" t="s">
        <v>175</v>
      </c>
      <c r="E80" s="29" t="s">
        <v>175</v>
      </c>
      <c r="F80" s="29" t="s">
        <v>175</v>
      </c>
      <c r="G80" s="29" t="s">
        <v>175</v>
      </c>
      <c r="H80" s="29" t="s">
        <v>175</v>
      </c>
      <c r="I80" s="29" t="s">
        <v>175</v>
      </c>
      <c r="J80" s="29" t="s">
        <v>175</v>
      </c>
      <c r="K80" s="29" t="s">
        <v>175</v>
      </c>
      <c r="L80" s="24" t="str">
        <f aca="false">IF(COUNTIF(D80:K80,"?")=8,"n/a",COUNTIF(D80:K80,"Yes")+0.5*COUNTIF(D80:K80,"Partial"))</f>
        <v>n/a</v>
      </c>
      <c r="M80" s="25" t="n">
        <f aca="false">IFERROR(INDEX('Priority list'!$A$5:$A$200,MATCH(A80,'Priority list'!$B$5:$B$200,0)),IF(C80="Done","Done","-"))</f>
        <v>31</v>
      </c>
    </row>
    <row r="81" customFormat="false" ht="15" hidden="false" customHeight="true" outlineLevel="0" collapsed="false">
      <c r="A81" s="6" t="s">
        <v>247</v>
      </c>
      <c r="B81" s="26" t="s">
        <v>45</v>
      </c>
      <c r="C81" s="26" t="s">
        <v>191</v>
      </c>
      <c r="D81" s="29" t="s">
        <v>175</v>
      </c>
      <c r="E81" s="29" t="s">
        <v>175</v>
      </c>
      <c r="F81" s="29" t="s">
        <v>175</v>
      </c>
      <c r="G81" s="29" t="s">
        <v>175</v>
      </c>
      <c r="H81" s="29" t="s">
        <v>175</v>
      </c>
      <c r="I81" s="29" t="s">
        <v>175</v>
      </c>
      <c r="J81" s="29" t="s">
        <v>175</v>
      </c>
      <c r="K81" s="29" t="s">
        <v>175</v>
      </c>
      <c r="L81" s="24" t="str">
        <f aca="false">IF(COUNTIF(D81:K81,"?")=8,"n/a",COUNTIF(D81:K81,"Yes")+0.5*COUNTIF(D81:K81,"Partial"))</f>
        <v>n/a</v>
      </c>
      <c r="M81" s="25" t="n">
        <f aca="false">IFERROR(INDEX('Priority list'!$A$5:$A$200,MATCH(A81,'Priority list'!$B$5:$B$200,0)),IF(C81="Done","Done","-"))</f>
        <v>42</v>
      </c>
    </row>
    <row r="82" customFormat="false" ht="15" hidden="false" customHeight="true" outlineLevel="0" collapsed="false">
      <c r="A82" s="6" t="s">
        <v>248</v>
      </c>
      <c r="B82" s="26" t="s">
        <v>45</v>
      </c>
      <c r="C82" s="26" t="s">
        <v>191</v>
      </c>
      <c r="D82" s="29" t="s">
        <v>175</v>
      </c>
      <c r="E82" s="29" t="s">
        <v>175</v>
      </c>
      <c r="F82" s="29" t="s">
        <v>175</v>
      </c>
      <c r="G82" s="29" t="s">
        <v>175</v>
      </c>
      <c r="H82" s="29" t="s">
        <v>175</v>
      </c>
      <c r="I82" s="29" t="s">
        <v>175</v>
      </c>
      <c r="J82" s="29" t="s">
        <v>175</v>
      </c>
      <c r="K82" s="29" t="s">
        <v>175</v>
      </c>
      <c r="L82" s="24" t="str">
        <f aca="false">IF(COUNTIF(D82:K82,"?")=8,"n/a",COUNTIF(D82:K82,"Yes")+0.5*COUNTIF(D82:K82,"Partial"))</f>
        <v>n/a</v>
      </c>
      <c r="M82" s="25" t="n">
        <f aca="false">IFERROR(INDEX('Priority list'!$A$5:$A$200,MATCH(A82,'Priority list'!$B$5:$B$200,0)),IF(C82="Done","Done","-"))</f>
        <v>43</v>
      </c>
    </row>
    <row r="83" customFormat="false" ht="15" hidden="false" customHeight="true" outlineLevel="0" collapsed="false">
      <c r="A83" s="6" t="s">
        <v>249</v>
      </c>
      <c r="B83" s="26" t="s">
        <v>74</v>
      </c>
      <c r="C83" s="26" t="s">
        <v>191</v>
      </c>
      <c r="D83" s="29" t="s">
        <v>175</v>
      </c>
      <c r="E83" s="29" t="s">
        <v>175</v>
      </c>
      <c r="F83" s="29" t="s">
        <v>175</v>
      </c>
      <c r="G83" s="29" t="s">
        <v>175</v>
      </c>
      <c r="H83" s="29" t="s">
        <v>175</v>
      </c>
      <c r="I83" s="29" t="s">
        <v>175</v>
      </c>
      <c r="J83" s="29" t="s">
        <v>175</v>
      </c>
      <c r="K83" s="29" t="s">
        <v>175</v>
      </c>
      <c r="L83" s="24" t="str">
        <f aca="false">IF(COUNTIF(D83:K83,"?")=8,"n/a",COUNTIF(D83:K83,"Yes")+0.5*COUNTIF(D83:K83,"Partial"))</f>
        <v>n/a</v>
      </c>
      <c r="M83" s="25" t="n">
        <f aca="false">IFERROR(INDEX('Priority list'!$A$5:$A$200,MATCH(A83,'Priority list'!$B$5:$B$200,0)),IF(C83="Done","Done","-"))</f>
        <v>41</v>
      </c>
    </row>
    <row r="84" customFormat="false" ht="15" hidden="false" customHeight="true" outlineLevel="0" collapsed="false">
      <c r="A84" s="6" t="s">
        <v>250</v>
      </c>
      <c r="B84" s="26" t="s">
        <v>74</v>
      </c>
      <c r="C84" s="26" t="s">
        <v>12</v>
      </c>
      <c r="D84" s="29" t="s">
        <v>175</v>
      </c>
      <c r="E84" s="29" t="s">
        <v>175</v>
      </c>
      <c r="F84" s="29" t="s">
        <v>175</v>
      </c>
      <c r="G84" s="29" t="s">
        <v>175</v>
      </c>
      <c r="H84" s="29" t="s">
        <v>175</v>
      </c>
      <c r="I84" s="29" t="s">
        <v>175</v>
      </c>
      <c r="J84" s="29" t="s">
        <v>175</v>
      </c>
      <c r="K84" s="29" t="s">
        <v>175</v>
      </c>
      <c r="L84" s="24" t="str">
        <f aca="false">IF(COUNTIF(D84:K84,"?")=8,"n/a",COUNTIF(D84:K84,"Yes")+0.5*COUNTIF(D84:K84,"Partial"))</f>
        <v>n/a</v>
      </c>
      <c r="M84" s="25" t="n">
        <f aca="false">IFERROR(INDEX('Priority list'!$A$5:$A$200,MATCH(A84,'Priority list'!$B$5:$B$200,0)),IF(C84="Done","Done","-"))</f>
        <v>34</v>
      </c>
    </row>
    <row r="85" customFormat="false" ht="15" hidden="false" customHeight="true" outlineLevel="0" collapsed="false">
      <c r="A85" s="6" t="s">
        <v>251</v>
      </c>
      <c r="B85" s="26" t="s">
        <v>74</v>
      </c>
      <c r="C85" s="26" t="s">
        <v>191</v>
      </c>
      <c r="D85" s="29" t="s">
        <v>175</v>
      </c>
      <c r="E85" s="29" t="s">
        <v>175</v>
      </c>
      <c r="F85" s="29" t="s">
        <v>175</v>
      </c>
      <c r="G85" s="29" t="s">
        <v>175</v>
      </c>
      <c r="H85" s="29" t="s">
        <v>175</v>
      </c>
      <c r="I85" s="29" t="s">
        <v>175</v>
      </c>
      <c r="J85" s="29" t="s">
        <v>175</v>
      </c>
      <c r="K85" s="29" t="s">
        <v>175</v>
      </c>
      <c r="L85" s="24" t="str">
        <f aca="false">IF(COUNTIF(D85:K85,"?")=8,"n/a",COUNTIF(D85:K85,"Yes")+0.5*COUNTIF(D85:K85,"Partial"))</f>
        <v>n/a</v>
      </c>
      <c r="M85" s="25" t="n">
        <f aca="false">IFERROR(INDEX('Priority list'!$A$5:$A$200,MATCH(A85,'Priority list'!$B$5:$B$200,0)),IF(C85="Done","Done","-"))</f>
        <v>57</v>
      </c>
    </row>
    <row r="86" customFormat="false" ht="23.25" hidden="false" customHeight="true" outlineLevel="0" collapsed="false">
      <c r="A86" s="6" t="s">
        <v>252</v>
      </c>
      <c r="B86" s="20" t="s">
        <v>74</v>
      </c>
      <c r="C86" s="21" t="s">
        <v>12</v>
      </c>
      <c r="D86" s="29" t="s">
        <v>175</v>
      </c>
      <c r="E86" s="29" t="s">
        <v>175</v>
      </c>
      <c r="F86" s="29" t="s">
        <v>175</v>
      </c>
      <c r="G86" s="29" t="s">
        <v>175</v>
      </c>
      <c r="H86" s="29" t="s">
        <v>175</v>
      </c>
      <c r="I86" s="29" t="s">
        <v>175</v>
      </c>
      <c r="J86" s="29" t="s">
        <v>175</v>
      </c>
      <c r="K86" s="29" t="s">
        <v>175</v>
      </c>
      <c r="L86" s="24" t="str">
        <f aca="false">IF(COUNTIF(D86:K86,"?")=8,"n/a",COUNTIF(D86:K86,"Yes")+0.5*COUNTIF(D86:K86,"Partial"))</f>
        <v>n/a</v>
      </c>
      <c r="M86" s="25" t="str">
        <f aca="false">IFERROR(INDEX('Priority list'!$A$5:$A$200,MATCH(A86,'Priority list'!$B$5:$B$200,0)),IF(C86="Done","Done","-"))</f>
        <v>Done</v>
      </c>
    </row>
    <row r="87" customFormat="false" ht="23.25" hidden="false" customHeight="true" outlineLevel="0" collapsed="false">
      <c r="A87" s="6" t="s">
        <v>253</v>
      </c>
      <c r="B87" s="26" t="s">
        <v>67</v>
      </c>
      <c r="C87" s="26" t="s">
        <v>191</v>
      </c>
      <c r="D87" s="29" t="s">
        <v>175</v>
      </c>
      <c r="E87" s="29" t="s">
        <v>175</v>
      </c>
      <c r="F87" s="29" t="s">
        <v>175</v>
      </c>
      <c r="G87" s="29" t="s">
        <v>175</v>
      </c>
      <c r="H87" s="29" t="s">
        <v>175</v>
      </c>
      <c r="I87" s="29" t="s">
        <v>175</v>
      </c>
      <c r="J87" s="29" t="s">
        <v>175</v>
      </c>
      <c r="K87" s="29" t="s">
        <v>175</v>
      </c>
      <c r="L87" s="24" t="str">
        <f aca="false">IF(COUNTIF(D87:K87,"?")=8,"n/a",COUNTIF(D87:K87,"Yes")+0.5*COUNTIF(D87:K87,"Partial"))</f>
        <v>n/a</v>
      </c>
      <c r="M87" s="25" t="n">
        <f aca="false">IFERROR(INDEX('Priority list'!$A$5:$A$200,MATCH(A87,'Priority list'!$B$5:$B$200,0)),IF(C87="Done","Done","-"))</f>
        <v>51</v>
      </c>
    </row>
    <row r="88" customFormat="false" ht="23.25" hidden="false" customHeight="true" outlineLevel="0" collapsed="false">
      <c r="A88" s="6" t="s">
        <v>254</v>
      </c>
      <c r="B88" s="26" t="s">
        <v>67</v>
      </c>
      <c r="C88" s="26" t="s">
        <v>191</v>
      </c>
      <c r="D88" s="29" t="s">
        <v>175</v>
      </c>
      <c r="E88" s="29" t="s">
        <v>175</v>
      </c>
      <c r="F88" s="29" t="s">
        <v>175</v>
      </c>
      <c r="G88" s="29" t="s">
        <v>175</v>
      </c>
      <c r="H88" s="29" t="s">
        <v>175</v>
      </c>
      <c r="I88" s="29" t="s">
        <v>175</v>
      </c>
      <c r="J88" s="29" t="s">
        <v>175</v>
      </c>
      <c r="K88" s="29" t="s">
        <v>175</v>
      </c>
      <c r="L88" s="24" t="str">
        <f aca="false">IF(COUNTIF(D88:K88,"?")=8,"n/a",COUNTIF(D88:K88,"Yes")+0.5*COUNTIF(D88:K88,"Partial"))</f>
        <v>n/a</v>
      </c>
      <c r="M88" s="25" t="n">
        <f aca="false">IFERROR(INDEX('Priority list'!$A$5:$A$200,MATCH(A88,'Priority list'!$B$5:$B$200,0)),IF(C88="Done","Done","-"))</f>
        <v>59</v>
      </c>
    </row>
    <row r="89" customFormat="false" ht="15" hidden="false" customHeight="true" outlineLevel="0" collapsed="false">
      <c r="A89" s="6" t="s">
        <v>255</v>
      </c>
      <c r="B89" s="26" t="s">
        <v>67</v>
      </c>
      <c r="C89" s="26" t="s">
        <v>191</v>
      </c>
      <c r="D89" s="29" t="s">
        <v>175</v>
      </c>
      <c r="E89" s="29" t="s">
        <v>175</v>
      </c>
      <c r="F89" s="29" t="s">
        <v>175</v>
      </c>
      <c r="G89" s="29" t="s">
        <v>175</v>
      </c>
      <c r="H89" s="29" t="s">
        <v>175</v>
      </c>
      <c r="I89" s="29" t="s">
        <v>171</v>
      </c>
      <c r="J89" s="29" t="s">
        <v>171</v>
      </c>
      <c r="K89" s="29" t="s">
        <v>175</v>
      </c>
      <c r="L89" s="24" t="n">
        <f aca="false">IF(COUNTIF(D89:K89,"?")=8,"n/a",COUNTIF(D89:K89,"Yes")+0.5*COUNTIF(D89:K89,"Partial"))</f>
        <v>2</v>
      </c>
      <c r="M89" s="25" t="n">
        <f aca="false">IFERROR(INDEX('Priority list'!$A$5:$A$200,MATCH(A89,'Priority list'!$B$5:$B$200,0)),IF(C89="Done","Done","-"))</f>
        <v>45</v>
      </c>
    </row>
    <row r="90" customFormat="false" ht="15" hidden="false" customHeight="true" outlineLevel="0" collapsed="false">
      <c r="A90" s="6" t="s">
        <v>256</v>
      </c>
      <c r="B90" s="26" t="s">
        <v>67</v>
      </c>
      <c r="C90" s="26" t="s">
        <v>191</v>
      </c>
      <c r="D90" s="29" t="s">
        <v>175</v>
      </c>
      <c r="E90" s="29" t="s">
        <v>175</v>
      </c>
      <c r="F90" s="29" t="s">
        <v>175</v>
      </c>
      <c r="G90" s="29" t="s">
        <v>175</v>
      </c>
      <c r="H90" s="29" t="s">
        <v>175</v>
      </c>
      <c r="I90" s="29" t="s">
        <v>175</v>
      </c>
      <c r="J90" s="29" t="s">
        <v>175</v>
      </c>
      <c r="K90" s="29" t="s">
        <v>175</v>
      </c>
      <c r="L90" s="24" t="str">
        <f aca="false">IF(COUNTIF(D90:K90,"?")=8,"n/a",COUNTIF(D90:K90,"Yes")+0.5*COUNTIF(D90:K90,"Partial"))</f>
        <v>n/a</v>
      </c>
      <c r="M90" s="25" t="n">
        <f aca="false">IFERROR(INDEX('Priority list'!$A$5:$A$200,MATCH(A90,'Priority list'!$B$5:$B$200,0)),IF(C90="Done","Done","-"))</f>
        <v>35</v>
      </c>
    </row>
    <row r="91" customFormat="false" ht="15" hidden="false" customHeight="true" outlineLevel="0" collapsed="false">
      <c r="A91" s="6" t="s">
        <v>257</v>
      </c>
      <c r="B91" s="26" t="s">
        <v>67</v>
      </c>
      <c r="C91" s="26" t="s">
        <v>191</v>
      </c>
      <c r="D91" s="29" t="s">
        <v>175</v>
      </c>
      <c r="E91" s="29" t="s">
        <v>175</v>
      </c>
      <c r="F91" s="29" t="s">
        <v>175</v>
      </c>
      <c r="G91" s="29" t="s">
        <v>175</v>
      </c>
      <c r="H91" s="29" t="s">
        <v>175</v>
      </c>
      <c r="I91" s="29" t="s">
        <v>175</v>
      </c>
      <c r="J91" s="29" t="s">
        <v>175</v>
      </c>
      <c r="K91" s="29" t="s">
        <v>175</v>
      </c>
      <c r="L91" s="24" t="str">
        <f aca="false">IF(COUNTIF(D91:K91,"?")=8,"n/a",COUNTIF(D91:K91,"Yes")+0.5*COUNTIF(D91:K91,"Partial"))</f>
        <v>n/a</v>
      </c>
      <c r="M91" s="25" t="n">
        <f aca="false">IFERROR(INDEX('Priority list'!$A$5:$A$200,MATCH(A91,'Priority list'!$B$5:$B$200,0)),IF(C91="Done","Done","-"))</f>
        <v>49</v>
      </c>
    </row>
    <row r="92" customFormat="false" ht="15" hidden="false" customHeight="true" outlineLevel="0" collapsed="false">
      <c r="A92" s="6" t="s">
        <v>258</v>
      </c>
      <c r="B92" s="26" t="s">
        <v>73</v>
      </c>
      <c r="C92" s="26" t="s">
        <v>191</v>
      </c>
      <c r="D92" s="29" t="s">
        <v>175</v>
      </c>
      <c r="E92" s="29" t="s">
        <v>175</v>
      </c>
      <c r="F92" s="29" t="s">
        <v>175</v>
      </c>
      <c r="G92" s="29" t="s">
        <v>175</v>
      </c>
      <c r="H92" s="29" t="s">
        <v>175</v>
      </c>
      <c r="I92" s="29" t="s">
        <v>175</v>
      </c>
      <c r="J92" s="29" t="s">
        <v>175</v>
      </c>
      <c r="K92" s="29" t="s">
        <v>175</v>
      </c>
      <c r="L92" s="24" t="str">
        <f aca="false">IF(COUNTIF(D92:K92,"?")=8,"n/a",COUNTIF(D92:K92,"Yes")+0.5*COUNTIF(D92:K92,"Partial"))</f>
        <v>n/a</v>
      </c>
      <c r="M92" s="25" t="n">
        <f aca="false">IFERROR(INDEX('Priority list'!$A$5:$A$200,MATCH(A92,'Priority list'!$B$5:$B$200,0)),IF(C92="Done","Done","-"))</f>
        <v>52</v>
      </c>
    </row>
    <row r="93" customFormat="false" ht="15" hidden="false" customHeight="true" outlineLevel="0" collapsed="false">
      <c r="A93" s="6" t="s">
        <v>259</v>
      </c>
      <c r="B93" s="26" t="s">
        <v>73</v>
      </c>
      <c r="C93" s="26" t="s">
        <v>191</v>
      </c>
      <c r="D93" s="29" t="s">
        <v>175</v>
      </c>
      <c r="E93" s="29" t="s">
        <v>175</v>
      </c>
      <c r="F93" s="29" t="s">
        <v>175</v>
      </c>
      <c r="G93" s="29" t="s">
        <v>175</v>
      </c>
      <c r="H93" s="29" t="s">
        <v>175</v>
      </c>
      <c r="I93" s="29" t="s">
        <v>175</v>
      </c>
      <c r="J93" s="29" t="s">
        <v>175</v>
      </c>
      <c r="K93" s="29" t="s">
        <v>175</v>
      </c>
      <c r="L93" s="24" t="str">
        <f aca="false">IF(COUNTIF(D93:K93,"?")=8,"n/a",COUNTIF(D93:K93,"Yes")+0.5*COUNTIF(D93:K93,"Partial"))</f>
        <v>n/a</v>
      </c>
      <c r="M93" s="25" t="n">
        <f aca="false">IFERROR(INDEX('Priority list'!$A$5:$A$200,MATCH(A93,'Priority list'!$B$5:$B$200,0)),IF(C93="Done","Done","-"))</f>
        <v>53</v>
      </c>
    </row>
    <row r="94" customFormat="false" ht="15" hidden="false" customHeight="true" outlineLevel="0" collapsed="false">
      <c r="A94" s="6" t="s">
        <v>260</v>
      </c>
      <c r="B94" s="26" t="s">
        <v>76</v>
      </c>
      <c r="C94" s="26" t="s">
        <v>191</v>
      </c>
      <c r="D94" s="29" t="s">
        <v>175</v>
      </c>
      <c r="E94" s="29" t="s">
        <v>175</v>
      </c>
      <c r="F94" s="29" t="s">
        <v>175</v>
      </c>
      <c r="G94" s="29" t="s">
        <v>175</v>
      </c>
      <c r="H94" s="29" t="s">
        <v>175</v>
      </c>
      <c r="I94" s="29" t="s">
        <v>175</v>
      </c>
      <c r="J94" s="29" t="s">
        <v>175</v>
      </c>
      <c r="K94" s="29" t="s">
        <v>175</v>
      </c>
      <c r="L94" s="24" t="str">
        <f aca="false">IF(COUNTIF(D94:K94,"?")=8,"n/a",COUNTIF(D94:K94,"Yes")+0.5*COUNTIF(D94:K94,"Partial"))</f>
        <v>n/a</v>
      </c>
      <c r="M94" s="25" t="n">
        <f aca="false">IFERROR(INDEX('Priority list'!$A$5:$A$200,MATCH(A94,'Priority list'!$B$5:$B$200,0)),IF(C94="Done","Done","-"))</f>
        <v>58</v>
      </c>
    </row>
    <row r="95" customFormat="false" ht="15" hidden="false" customHeight="true" outlineLevel="0" collapsed="false">
      <c r="A95" s="6" t="s">
        <v>261</v>
      </c>
      <c r="B95" s="26" t="s">
        <v>53</v>
      </c>
      <c r="C95" s="26" t="s">
        <v>191</v>
      </c>
      <c r="D95" s="29" t="s">
        <v>175</v>
      </c>
      <c r="E95" s="29" t="s">
        <v>175</v>
      </c>
      <c r="F95" s="29" t="s">
        <v>175</v>
      </c>
      <c r="G95" s="29" t="s">
        <v>175</v>
      </c>
      <c r="H95" s="29" t="s">
        <v>175</v>
      </c>
      <c r="I95" s="29" t="s">
        <v>175</v>
      </c>
      <c r="J95" s="29" t="s">
        <v>175</v>
      </c>
      <c r="K95" s="29" t="s">
        <v>175</v>
      </c>
      <c r="L95" s="24" t="str">
        <f aca="false">IF(COUNTIF(D95:K95,"?")=8,"n/a",COUNTIF(D95:K95,"Yes")+0.5*COUNTIF(D95:K95,"Partial"))</f>
        <v>n/a</v>
      </c>
      <c r="M95" s="25" t="n">
        <f aca="false">IFERROR(INDEX('Priority list'!$A$5:$A$200,MATCH(A95,'Priority list'!$B$5:$B$200,0)),IF(C95="Done","Done","-"))</f>
        <v>64</v>
      </c>
    </row>
    <row r="96" customFormat="false" ht="15" hidden="false" customHeight="true" outlineLevel="0" collapsed="false">
      <c r="A96" s="6" t="s">
        <v>262</v>
      </c>
      <c r="B96" s="26" t="s">
        <v>53</v>
      </c>
      <c r="C96" s="26" t="s">
        <v>191</v>
      </c>
      <c r="D96" s="29" t="s">
        <v>175</v>
      </c>
      <c r="E96" s="29" t="s">
        <v>175</v>
      </c>
      <c r="F96" s="29" t="s">
        <v>175</v>
      </c>
      <c r="G96" s="29" t="s">
        <v>175</v>
      </c>
      <c r="H96" s="29" t="s">
        <v>175</v>
      </c>
      <c r="I96" s="29" t="s">
        <v>175</v>
      </c>
      <c r="J96" s="29" t="s">
        <v>175</v>
      </c>
      <c r="K96" s="29" t="s">
        <v>175</v>
      </c>
      <c r="L96" s="24" t="str">
        <f aca="false">IF(COUNTIF(D96:K96,"?")=8,"n/a",COUNTIF(D96:K96,"Yes")+0.5*COUNTIF(D96:K96,"Partial"))</f>
        <v>n/a</v>
      </c>
      <c r="M96" s="25" t="n">
        <f aca="false">IFERROR(INDEX('Priority list'!$A$5:$A$200,MATCH(A96,'Priority list'!$B$5:$B$200,0)),IF(C96="Done","Done","-"))</f>
        <v>62</v>
      </c>
    </row>
    <row r="97" customFormat="false" ht="15" hidden="false" customHeight="true" outlineLevel="0" collapsed="false">
      <c r="A97" s="6" t="s">
        <v>263</v>
      </c>
      <c r="B97" s="26" t="s">
        <v>53</v>
      </c>
      <c r="C97" s="26" t="s">
        <v>191</v>
      </c>
      <c r="D97" s="29" t="s">
        <v>175</v>
      </c>
      <c r="E97" s="29" t="s">
        <v>175</v>
      </c>
      <c r="F97" s="29" t="s">
        <v>175</v>
      </c>
      <c r="G97" s="29" t="s">
        <v>175</v>
      </c>
      <c r="H97" s="29" t="s">
        <v>175</v>
      </c>
      <c r="I97" s="29" t="s">
        <v>175</v>
      </c>
      <c r="J97" s="29" t="s">
        <v>175</v>
      </c>
      <c r="K97" s="29" t="s">
        <v>175</v>
      </c>
      <c r="L97" s="24" t="str">
        <f aca="false">IF(COUNTIF(D97:K97,"?")=8,"n/a",COUNTIF(D97:K97,"Yes")+0.5*COUNTIF(D97:K97,"Partial"))</f>
        <v>n/a</v>
      </c>
      <c r="M97" s="25" t="n">
        <f aca="false">IFERROR(INDEX('Priority list'!$A$5:$A$200,MATCH(A97,'Priority list'!$B$5:$B$200,0)),IF(C97="Done","Done","-"))</f>
        <v>66</v>
      </c>
    </row>
    <row r="98" customFormat="false" ht="15" hidden="false" customHeight="true" outlineLevel="0" collapsed="false">
      <c r="A98" s="6" t="s">
        <v>264</v>
      </c>
      <c r="B98" s="26" t="s">
        <v>53</v>
      </c>
      <c r="C98" s="26" t="s">
        <v>191</v>
      </c>
      <c r="D98" s="29" t="s">
        <v>175</v>
      </c>
      <c r="E98" s="29" t="s">
        <v>175</v>
      </c>
      <c r="F98" s="29" t="s">
        <v>175</v>
      </c>
      <c r="G98" s="29" t="s">
        <v>175</v>
      </c>
      <c r="H98" s="29" t="s">
        <v>175</v>
      </c>
      <c r="I98" s="29" t="s">
        <v>175</v>
      </c>
      <c r="J98" s="29" t="s">
        <v>175</v>
      </c>
      <c r="K98" s="29" t="s">
        <v>175</v>
      </c>
      <c r="L98" s="24" t="str">
        <f aca="false">IF(COUNTIF(D98:K98,"?")=8,"n/a",COUNTIF(D98:K98,"Yes")+0.5*COUNTIF(D98:K98,"Partial"))</f>
        <v>n/a</v>
      </c>
      <c r="M98" s="25" t="n">
        <f aca="false">IFERROR(INDEX('Priority list'!$A$5:$A$200,MATCH(A98,'Priority list'!$B$5:$B$200,0)),IF(C98="Done","Done","-"))</f>
        <v>67</v>
      </c>
    </row>
    <row r="99" customFormat="false" ht="15" hidden="false" customHeight="true" outlineLevel="0" collapsed="false">
      <c r="A99" s="6" t="s">
        <v>265</v>
      </c>
      <c r="B99" s="26" t="s">
        <v>53</v>
      </c>
      <c r="C99" s="26" t="s">
        <v>191</v>
      </c>
      <c r="D99" s="29" t="s">
        <v>175</v>
      </c>
      <c r="E99" s="29" t="s">
        <v>175</v>
      </c>
      <c r="F99" s="29" t="s">
        <v>175</v>
      </c>
      <c r="G99" s="29" t="s">
        <v>175</v>
      </c>
      <c r="H99" s="29" t="s">
        <v>175</v>
      </c>
      <c r="I99" s="29" t="s">
        <v>175</v>
      </c>
      <c r="J99" s="29" t="s">
        <v>175</v>
      </c>
      <c r="K99" s="29" t="s">
        <v>175</v>
      </c>
      <c r="L99" s="24" t="str">
        <f aca="false">IF(COUNTIF(D99:K99,"?")=8,"n/a",COUNTIF(D99:K99,"Yes")+0.5*COUNTIF(D99:K99,"Partial"))</f>
        <v>n/a</v>
      </c>
      <c r="M99" s="25" t="n">
        <f aca="false">IFERROR(INDEX('Priority list'!$A$5:$A$200,MATCH(A99,'Priority list'!$B$5:$B$200,0)),IF(C99="Done","Done","-"))</f>
        <v>65</v>
      </c>
    </row>
    <row r="100" customFormat="false" ht="15" hidden="false" customHeight="true" outlineLevel="0" collapsed="false">
      <c r="A100" s="6" t="s">
        <v>266</v>
      </c>
      <c r="B100" s="26" t="s">
        <v>53</v>
      </c>
      <c r="C100" s="26" t="s">
        <v>191</v>
      </c>
      <c r="D100" s="29" t="s">
        <v>175</v>
      </c>
      <c r="E100" s="29" t="s">
        <v>175</v>
      </c>
      <c r="F100" s="29" t="s">
        <v>175</v>
      </c>
      <c r="G100" s="29" t="s">
        <v>175</v>
      </c>
      <c r="H100" s="29" t="s">
        <v>175</v>
      </c>
      <c r="I100" s="29" t="s">
        <v>175</v>
      </c>
      <c r="J100" s="29" t="s">
        <v>175</v>
      </c>
      <c r="K100" s="29" t="s">
        <v>175</v>
      </c>
      <c r="L100" s="24" t="str">
        <f aca="false">IF(COUNTIF(D100:K100,"?")=8,"n/a",COUNTIF(D100:K100,"Yes")+0.5*COUNTIF(D100:K100,"Partial"))</f>
        <v>n/a</v>
      </c>
      <c r="M100" s="25" t="n">
        <f aca="false">IFERROR(INDEX('Priority list'!$A$5:$A$200,MATCH(A100,'Priority list'!$B$5:$B$200,0)),IF(C100="Done","Done","-"))</f>
        <v>63</v>
      </c>
    </row>
    <row r="101" customFormat="false" ht="15" hidden="false" customHeight="true" outlineLevel="0" collapsed="false">
      <c r="A101" s="6" t="s">
        <v>267</v>
      </c>
      <c r="B101" s="26" t="s">
        <v>77</v>
      </c>
      <c r="C101" s="26" t="s">
        <v>191</v>
      </c>
      <c r="D101" s="29" t="s">
        <v>175</v>
      </c>
      <c r="E101" s="29" t="s">
        <v>175</v>
      </c>
      <c r="F101" s="29" t="s">
        <v>175</v>
      </c>
      <c r="G101" s="29" t="s">
        <v>175</v>
      </c>
      <c r="H101" s="29" t="s">
        <v>175</v>
      </c>
      <c r="I101" s="29" t="s">
        <v>175</v>
      </c>
      <c r="J101" s="29" t="s">
        <v>175</v>
      </c>
      <c r="K101" s="29" t="s">
        <v>175</v>
      </c>
      <c r="L101" s="24" t="str">
        <f aca="false">IF(COUNTIF(D101:K101,"?")=8,"n/a",COUNTIF(D101:K101,"Yes")+0.5*COUNTIF(D101:K101,"Partial"))</f>
        <v>n/a</v>
      </c>
      <c r="M101" s="25" t="n">
        <f aca="false">IFERROR(INDEX('Priority list'!$A$5:$A$200,MATCH(A101,'Priority list'!$B$5:$B$200,0)),IF(C101="Done","Done","-"))</f>
        <v>55</v>
      </c>
    </row>
    <row r="102" customFormat="false" ht="15" hidden="false" customHeight="true" outlineLevel="0" collapsed="false">
      <c r="A102" s="6" t="s">
        <v>268</v>
      </c>
      <c r="B102" s="26" t="s">
        <v>77</v>
      </c>
      <c r="C102" s="26" t="s">
        <v>191</v>
      </c>
      <c r="D102" s="29" t="s">
        <v>175</v>
      </c>
      <c r="E102" s="29" t="s">
        <v>175</v>
      </c>
      <c r="F102" s="29" t="s">
        <v>175</v>
      </c>
      <c r="G102" s="29" t="s">
        <v>175</v>
      </c>
      <c r="H102" s="29" t="s">
        <v>175</v>
      </c>
      <c r="I102" s="29" t="s">
        <v>175</v>
      </c>
      <c r="J102" s="29" t="s">
        <v>175</v>
      </c>
      <c r="K102" s="29" t="s">
        <v>175</v>
      </c>
      <c r="L102" s="24" t="str">
        <f aca="false">IF(COUNTIF(D102:K102,"?")=8,"n/a",COUNTIF(D102:K102,"Yes")+0.5*COUNTIF(D102:K102,"Partial"))</f>
        <v>n/a</v>
      </c>
      <c r="M102" s="25" t="n">
        <f aca="false">IFERROR(INDEX('Priority list'!$A$5:$A$200,MATCH(A102,'Priority list'!$B$5:$B$200,0)),IF(C102="Done","Done","-"))</f>
        <v>61</v>
      </c>
    </row>
    <row r="103" customFormat="false" ht="15" hidden="false" customHeight="true" outlineLevel="0" collapsed="false">
      <c r="A103" s="6" t="s">
        <v>269</v>
      </c>
      <c r="B103" s="26" t="s">
        <v>77</v>
      </c>
      <c r="C103" s="26" t="s">
        <v>191</v>
      </c>
      <c r="D103" s="29" t="s">
        <v>175</v>
      </c>
      <c r="E103" s="29" t="s">
        <v>175</v>
      </c>
      <c r="F103" s="29" t="s">
        <v>175</v>
      </c>
      <c r="G103" s="29" t="s">
        <v>175</v>
      </c>
      <c r="H103" s="29" t="s">
        <v>175</v>
      </c>
      <c r="I103" s="29" t="s">
        <v>175</v>
      </c>
      <c r="J103" s="29" t="s">
        <v>175</v>
      </c>
      <c r="K103" s="29" t="s">
        <v>175</v>
      </c>
      <c r="L103" s="24" t="str">
        <f aca="false">IF(COUNTIF(D103:K103,"?")=8,"n/a",COUNTIF(D103:K103,"Yes")+0.5*COUNTIF(D103:K103,"Partial"))</f>
        <v>n/a</v>
      </c>
      <c r="M103" s="25" t="n">
        <f aca="false">IFERROR(INDEX('Priority list'!$A$5:$A$200,MATCH(A103,'Priority list'!$B$5:$B$200,0)),IF(C103="Done","Done","-"))</f>
        <v>54</v>
      </c>
    </row>
    <row r="104" customFormat="false" ht="15" hidden="false" customHeight="true" outlineLevel="0" collapsed="false">
      <c r="A104" s="6" t="s">
        <v>270</v>
      </c>
      <c r="B104" s="26" t="s">
        <v>77</v>
      </c>
      <c r="C104" s="26" t="s">
        <v>191</v>
      </c>
      <c r="D104" s="29" t="s">
        <v>175</v>
      </c>
      <c r="E104" s="29" t="s">
        <v>175</v>
      </c>
      <c r="F104" s="29" t="s">
        <v>175</v>
      </c>
      <c r="G104" s="29" t="s">
        <v>175</v>
      </c>
      <c r="H104" s="29" t="s">
        <v>175</v>
      </c>
      <c r="I104" s="29" t="s">
        <v>175</v>
      </c>
      <c r="J104" s="29" t="s">
        <v>175</v>
      </c>
      <c r="K104" s="29" t="s">
        <v>175</v>
      </c>
      <c r="L104" s="24" t="str">
        <f aca="false">IF(COUNTIF(D104:K104,"?")=8,"n/a",COUNTIF(D104:K104,"Yes")+0.5*COUNTIF(D104:K104,"Partial"))</f>
        <v>n/a</v>
      </c>
      <c r="M104" s="25" t="n">
        <f aca="false">IFERROR(INDEX('Priority list'!$A$5:$A$200,MATCH(A104,'Priority list'!$B$5:$B$200,0)),IF(C104="Done","Done","-"))</f>
        <v>46</v>
      </c>
    </row>
    <row r="105" customFormat="false" ht="15" hidden="false" customHeight="true" outlineLevel="0" collapsed="false">
      <c r="A105" s="6" t="s">
        <v>271</v>
      </c>
      <c r="B105" s="26" t="s">
        <v>77</v>
      </c>
      <c r="C105" s="26" t="s">
        <v>191</v>
      </c>
      <c r="D105" s="29" t="s">
        <v>175</v>
      </c>
      <c r="E105" s="29" t="s">
        <v>175</v>
      </c>
      <c r="F105" s="29" t="s">
        <v>175</v>
      </c>
      <c r="G105" s="29" t="s">
        <v>175</v>
      </c>
      <c r="H105" s="29" t="s">
        <v>175</v>
      </c>
      <c r="I105" s="29" t="s">
        <v>175</v>
      </c>
      <c r="J105" s="29" t="s">
        <v>175</v>
      </c>
      <c r="K105" s="29" t="s">
        <v>175</v>
      </c>
      <c r="L105" s="24" t="str">
        <f aca="false">IF(COUNTIF(D105:K105,"?")=8,"n/a",COUNTIF(D105:K105,"Yes")+0.5*COUNTIF(D105:K105,"Partial"))</f>
        <v>n/a</v>
      </c>
      <c r="M105" s="25" t="n">
        <f aca="false">IFERROR(INDEX('Priority list'!$A$5:$A$200,MATCH(A105,'Priority list'!$B$5:$B$200,0)),IF(C105="Done","Done","-"))</f>
        <v>39</v>
      </c>
    </row>
    <row r="106" customFormat="false" ht="15" hidden="false" customHeight="true" outlineLevel="0" collapsed="false">
      <c r="A106" s="6" t="s">
        <v>272</v>
      </c>
      <c r="B106" s="26" t="s">
        <v>77</v>
      </c>
      <c r="C106" s="26" t="s">
        <v>191</v>
      </c>
      <c r="D106" s="29" t="s">
        <v>175</v>
      </c>
      <c r="E106" s="29" t="s">
        <v>175</v>
      </c>
      <c r="F106" s="29" t="s">
        <v>175</v>
      </c>
      <c r="G106" s="29" t="s">
        <v>175</v>
      </c>
      <c r="H106" s="29" t="s">
        <v>175</v>
      </c>
      <c r="I106" s="29" t="s">
        <v>175</v>
      </c>
      <c r="J106" s="29" t="s">
        <v>175</v>
      </c>
      <c r="K106" s="29" t="s">
        <v>175</v>
      </c>
      <c r="L106" s="24" t="str">
        <f aca="false">IF(COUNTIF(D106:K106,"?")=8,"n/a",COUNTIF(D106:K106,"Yes")+0.5*COUNTIF(D106:K106,"Partial"))</f>
        <v>n/a</v>
      </c>
      <c r="M106" s="25" t="n">
        <f aca="false">IFERROR(INDEX('Priority list'!$A$5:$A$200,MATCH(A106,'Priority list'!$B$5:$B$200,0)),IF(C106="Done","Done","-"))</f>
        <v>60</v>
      </c>
    </row>
    <row r="107" customFormat="false" ht="15" hidden="false" customHeight="true" outlineLevel="0" collapsed="false">
      <c r="A107" s="6" t="s">
        <v>273</v>
      </c>
      <c r="B107" s="26" t="s">
        <v>77</v>
      </c>
      <c r="C107" s="26" t="s">
        <v>191</v>
      </c>
      <c r="D107" s="29" t="s">
        <v>175</v>
      </c>
      <c r="E107" s="29" t="s">
        <v>175</v>
      </c>
      <c r="F107" s="29" t="s">
        <v>175</v>
      </c>
      <c r="G107" s="29" t="s">
        <v>175</v>
      </c>
      <c r="H107" s="29" t="s">
        <v>175</v>
      </c>
      <c r="I107" s="29" t="s">
        <v>175</v>
      </c>
      <c r="J107" s="29" t="s">
        <v>175</v>
      </c>
      <c r="K107" s="29" t="s">
        <v>175</v>
      </c>
      <c r="L107" s="24" t="str">
        <f aca="false">IF(COUNTIF(D107:K107,"?")=8,"n/a",COUNTIF(D107:K107,"Yes")+0.5*COUNTIF(D107:K107,"Partial"))</f>
        <v>n/a</v>
      </c>
      <c r="M107" s="25" t="n">
        <f aca="false">IFERROR(INDEX('Priority list'!$A$5:$A$200,MATCH(A107,'Priority list'!$B$5:$B$200,0)),IF(C107="Done","Done","-"))</f>
        <v>38</v>
      </c>
    </row>
    <row r="108" customFormat="false" ht="15" hidden="false" customHeight="true" outlineLevel="0" collapsed="false">
      <c r="A108" s="6" t="s">
        <v>274</v>
      </c>
      <c r="B108" s="26" t="s">
        <v>78</v>
      </c>
      <c r="C108" s="26" t="s">
        <v>191</v>
      </c>
      <c r="D108" s="29" t="s">
        <v>175</v>
      </c>
      <c r="E108" s="29" t="s">
        <v>175</v>
      </c>
      <c r="F108" s="29" t="s">
        <v>175</v>
      </c>
      <c r="G108" s="29" t="s">
        <v>175</v>
      </c>
      <c r="H108" s="29" t="s">
        <v>175</v>
      </c>
      <c r="I108" s="29" t="s">
        <v>175</v>
      </c>
      <c r="J108" s="29" t="s">
        <v>175</v>
      </c>
      <c r="K108" s="29" t="s">
        <v>175</v>
      </c>
      <c r="L108" s="24" t="str">
        <f aca="false">IF(COUNTIF(D108:K108,"?")=8,"n/a",COUNTIF(D108:K108,"Yes")+0.5*COUNTIF(D108:K108,"Partial"))</f>
        <v>n/a</v>
      </c>
      <c r="M108" s="25" t="n">
        <f aca="false">IFERROR(INDEX('Priority list'!$A$5:$A$200,MATCH(A108,'Priority list'!$B$5:$B$200,0)),IF(C108="Done","Done","-"))</f>
        <v>40</v>
      </c>
    </row>
    <row r="109" customFormat="false" ht="15" hidden="false" customHeight="true" outlineLevel="0" collapsed="false">
      <c r="A109" s="6" t="s">
        <v>275</v>
      </c>
      <c r="B109" s="26" t="s">
        <v>73</v>
      </c>
      <c r="C109" s="26" t="s">
        <v>191</v>
      </c>
      <c r="D109" s="29" t="s">
        <v>175</v>
      </c>
      <c r="E109" s="29" t="s">
        <v>175</v>
      </c>
      <c r="F109" s="29" t="s">
        <v>175</v>
      </c>
      <c r="G109" s="29" t="s">
        <v>175</v>
      </c>
      <c r="H109" s="29" t="s">
        <v>175</v>
      </c>
      <c r="I109" s="29" t="s">
        <v>175</v>
      </c>
      <c r="J109" s="29" t="s">
        <v>175</v>
      </c>
      <c r="K109" s="29" t="s">
        <v>175</v>
      </c>
      <c r="L109" s="24" t="str">
        <f aca="false">IF(COUNTIF(D109:K109,"?")=8,"n/a",COUNTIF(D109:K109,"Yes")+0.5*COUNTIF(D109:K109,"Partial"))</f>
        <v>n/a</v>
      </c>
      <c r="M109" s="25" t="n">
        <f aca="false">IFERROR(INDEX('Priority list'!$A$5:$A$200,MATCH(A109,'Priority list'!$B$5:$B$200,0)),IF(C109="Done","Done","-"))</f>
        <v>33</v>
      </c>
    </row>
    <row r="110" customFormat="false" ht="15" hidden="false" customHeight="true" outlineLevel="0" collapsed="false">
      <c r="A110" s="6" t="s">
        <v>276</v>
      </c>
      <c r="B110" s="26" t="s">
        <v>76</v>
      </c>
      <c r="C110" s="26" t="s">
        <v>191</v>
      </c>
      <c r="D110" s="29" t="s">
        <v>175</v>
      </c>
      <c r="E110" s="29" t="s">
        <v>175</v>
      </c>
      <c r="F110" s="29" t="s">
        <v>175</v>
      </c>
      <c r="G110" s="29" t="s">
        <v>175</v>
      </c>
      <c r="H110" s="29" t="s">
        <v>175</v>
      </c>
      <c r="I110" s="29" t="s">
        <v>175</v>
      </c>
      <c r="J110" s="29" t="s">
        <v>175</v>
      </c>
      <c r="K110" s="29" t="s">
        <v>175</v>
      </c>
      <c r="L110" s="24" t="str">
        <f aca="false">IF(COUNTIF(D110:K110,"?")=8,"n/a",COUNTIF(D110:K110,"Yes")+0.5*COUNTIF(D110:K110,"Partial"))</f>
        <v>n/a</v>
      </c>
      <c r="M110" s="25" t="n">
        <f aca="false">IFERROR(INDEX('Priority list'!$A$5:$A$200,MATCH(A110,'Priority list'!$B$5:$B$200,0)),IF(C110="Done","Done","-"))</f>
        <v>37</v>
      </c>
    </row>
    <row r="111" customFormat="false" ht="15" hidden="false" customHeight="true" outlineLevel="0" collapsed="false">
      <c r="A111" s="6" t="s">
        <v>277</v>
      </c>
      <c r="B111" s="26" t="s">
        <v>76</v>
      </c>
      <c r="C111" s="26" t="s">
        <v>191</v>
      </c>
      <c r="D111" s="29" t="s">
        <v>175</v>
      </c>
      <c r="E111" s="29" t="s">
        <v>175</v>
      </c>
      <c r="F111" s="29" t="s">
        <v>175</v>
      </c>
      <c r="G111" s="29" t="s">
        <v>175</v>
      </c>
      <c r="H111" s="29" t="s">
        <v>175</v>
      </c>
      <c r="I111" s="29" t="s">
        <v>175</v>
      </c>
      <c r="J111" s="29" t="s">
        <v>175</v>
      </c>
      <c r="K111" s="29" t="s">
        <v>175</v>
      </c>
      <c r="L111" s="24" t="str">
        <f aca="false">IF(COUNTIF(D111:K111,"?")=8,"n/a",COUNTIF(D111:K111,"Yes")+0.5*COUNTIF(D111:K111,"Partial"))</f>
        <v>n/a</v>
      </c>
      <c r="M111" s="25" t="n">
        <f aca="false">IFERROR(INDEX('Priority list'!$A$5:$A$200,MATCH(A111,'Priority list'!$B$5:$B$200,0)),IF(C111="Done","Done","-"))</f>
        <v>50</v>
      </c>
    </row>
    <row r="112" customFormat="false" ht="15" hidden="false" customHeight="true" outlineLevel="0" collapsed="false">
      <c r="A112" s="6" t="s">
        <v>278</v>
      </c>
      <c r="B112" s="26" t="s">
        <v>82</v>
      </c>
      <c r="C112" s="26" t="s">
        <v>191</v>
      </c>
      <c r="D112" s="29" t="s">
        <v>175</v>
      </c>
      <c r="E112" s="29" t="s">
        <v>175</v>
      </c>
      <c r="F112" s="29" t="s">
        <v>175</v>
      </c>
      <c r="G112" s="29" t="s">
        <v>175</v>
      </c>
      <c r="H112" s="29" t="s">
        <v>175</v>
      </c>
      <c r="I112" s="29" t="s">
        <v>175</v>
      </c>
      <c r="J112" s="29" t="s">
        <v>175</v>
      </c>
      <c r="K112" s="29" t="s">
        <v>175</v>
      </c>
      <c r="L112" s="24" t="str">
        <f aca="false">IF(COUNTIF(D112:K112,"?")=8,"n/a",COUNTIF(D112:K112,"Yes")+0.5*COUNTIF(D112:K112,"Partial"))</f>
        <v>n/a</v>
      </c>
      <c r="M112" s="25" t="n">
        <f aca="false">IFERROR(INDEX('Priority list'!$A$5:$A$200,MATCH(A112,'Priority list'!$B$5:$B$200,0)),IF(C112="Done","Done","-"))</f>
        <v>75</v>
      </c>
    </row>
    <row r="113" customFormat="false" ht="15" hidden="false" customHeight="true" outlineLevel="0" collapsed="false">
      <c r="A113" s="6" t="s">
        <v>279</v>
      </c>
      <c r="B113" s="26" t="s">
        <v>61</v>
      </c>
      <c r="C113" s="26" t="s">
        <v>191</v>
      </c>
      <c r="D113" s="29" t="s">
        <v>175</v>
      </c>
      <c r="E113" s="29" t="s">
        <v>175</v>
      </c>
      <c r="F113" s="29" t="s">
        <v>175</v>
      </c>
      <c r="G113" s="29" t="s">
        <v>175</v>
      </c>
      <c r="H113" s="29" t="s">
        <v>175</v>
      </c>
      <c r="I113" s="29" t="s">
        <v>175</v>
      </c>
      <c r="J113" s="29" t="s">
        <v>175</v>
      </c>
      <c r="K113" s="29" t="s">
        <v>175</v>
      </c>
      <c r="L113" s="24" t="str">
        <f aca="false">IF(COUNTIF(D113:K113,"?")=8,"n/a",COUNTIF(D113:K113,"Yes")+0.5*COUNTIF(D113:K113,"Partial"))</f>
        <v>n/a</v>
      </c>
      <c r="M113" s="25" t="n">
        <f aca="false">IFERROR(INDEX('Priority list'!$A$5:$A$200,MATCH(A113,'Priority list'!$B$5:$B$200,0)),IF(C113="Done","Done","-"))</f>
        <v>77</v>
      </c>
    </row>
    <row r="114" customFormat="false" ht="23.25" hidden="false" customHeight="true" outlineLevel="0" collapsed="false">
      <c r="A114" s="6" t="s">
        <v>280</v>
      </c>
      <c r="B114" s="26" t="s">
        <v>45</v>
      </c>
      <c r="C114" s="26" t="s">
        <v>191</v>
      </c>
      <c r="D114" s="29" t="s">
        <v>175</v>
      </c>
      <c r="E114" s="29" t="s">
        <v>175</v>
      </c>
      <c r="F114" s="29" t="s">
        <v>175</v>
      </c>
      <c r="G114" s="29" t="s">
        <v>175</v>
      </c>
      <c r="H114" s="29" t="s">
        <v>175</v>
      </c>
      <c r="I114" s="29" t="s">
        <v>175</v>
      </c>
      <c r="J114" s="29" t="s">
        <v>175</v>
      </c>
      <c r="K114" s="29" t="s">
        <v>175</v>
      </c>
      <c r="L114" s="24" t="str">
        <f aca="false">IF(COUNTIF(D114:K114,"?")=8,"n/a",COUNTIF(D114:K114,"Yes")+0.5*COUNTIF(D114:K114,"Partial"))</f>
        <v>n/a</v>
      </c>
      <c r="M114" s="25" t="n">
        <f aca="false">IFERROR(INDEX('Priority list'!$A$5:$A$200,MATCH(A114,'Priority list'!$B$5:$B$200,0)),IF(C114="Done","Done","-"))</f>
        <v>56</v>
      </c>
    </row>
    <row r="115" customFormat="false" ht="15" hidden="false" customHeight="true" outlineLevel="0" collapsed="false">
      <c r="A115" s="6" t="s">
        <v>281</v>
      </c>
      <c r="B115" s="26" t="s">
        <v>43</v>
      </c>
      <c r="C115" s="26" t="s">
        <v>191</v>
      </c>
      <c r="D115" s="29" t="s">
        <v>175</v>
      </c>
      <c r="E115" s="29" t="s">
        <v>175</v>
      </c>
      <c r="F115" s="29" t="s">
        <v>175</v>
      </c>
      <c r="G115" s="29" t="s">
        <v>175</v>
      </c>
      <c r="H115" s="29" t="s">
        <v>175</v>
      </c>
      <c r="I115" s="29" t="s">
        <v>175</v>
      </c>
      <c r="J115" s="29" t="s">
        <v>175</v>
      </c>
      <c r="K115" s="29" t="s">
        <v>175</v>
      </c>
      <c r="L115" s="24" t="str">
        <f aca="false">IF(COUNTIF(D115:K115,"?")=8,"n/a",COUNTIF(D115:K115,"Yes")+0.5*COUNTIF(D115:K115,"Partial"))</f>
        <v>n/a</v>
      </c>
      <c r="M115" s="25" t="n">
        <f aca="false">IFERROR(INDEX('Priority list'!$A$5:$A$200,MATCH(A115,'Priority list'!$B$5:$B$200,0)),IF(C115="Done","Done","-"))</f>
        <v>82</v>
      </c>
    </row>
    <row r="116" customFormat="false" ht="15" hidden="false" customHeight="true" outlineLevel="0" collapsed="false">
      <c r="A116" s="6" t="s">
        <v>282</v>
      </c>
      <c r="B116" s="26" t="s">
        <v>70</v>
      </c>
      <c r="C116" s="26" t="s">
        <v>191</v>
      </c>
      <c r="D116" s="29" t="s">
        <v>175</v>
      </c>
      <c r="E116" s="29" t="s">
        <v>175</v>
      </c>
      <c r="F116" s="29" t="s">
        <v>175</v>
      </c>
      <c r="G116" s="29" t="s">
        <v>175</v>
      </c>
      <c r="H116" s="29" t="s">
        <v>175</v>
      </c>
      <c r="I116" s="29" t="s">
        <v>175</v>
      </c>
      <c r="J116" s="29" t="s">
        <v>175</v>
      </c>
      <c r="K116" s="29" t="s">
        <v>175</v>
      </c>
      <c r="L116" s="24" t="str">
        <f aca="false">IF(COUNTIF(D116:K116,"?")=8,"n/a",COUNTIF(D116:K116,"Yes")+0.5*COUNTIF(D116:K116,"Partial"))</f>
        <v>n/a</v>
      </c>
      <c r="M116" s="25" t="n">
        <f aca="false">IFERROR(INDEX('Priority list'!$A$5:$A$200,MATCH(A116,'Priority list'!$B$5:$B$200,0)),IF(C116="Done","Done","-"))</f>
        <v>30</v>
      </c>
    </row>
    <row r="117" customFormat="false" ht="15" hidden="false" customHeight="true" outlineLevel="0" collapsed="false">
      <c r="A117" s="6" t="s">
        <v>283</v>
      </c>
      <c r="B117" s="26" t="s">
        <v>78</v>
      </c>
      <c r="C117" s="26" t="s">
        <v>191</v>
      </c>
      <c r="D117" s="29" t="s">
        <v>175</v>
      </c>
      <c r="E117" s="29" t="s">
        <v>175</v>
      </c>
      <c r="F117" s="29" t="s">
        <v>175</v>
      </c>
      <c r="G117" s="29" t="s">
        <v>175</v>
      </c>
      <c r="H117" s="29" t="s">
        <v>175</v>
      </c>
      <c r="I117" s="29" t="s">
        <v>175</v>
      </c>
      <c r="J117" s="29" t="s">
        <v>175</v>
      </c>
      <c r="K117" s="29" t="s">
        <v>175</v>
      </c>
      <c r="L117" s="24" t="str">
        <f aca="false">IF(COUNTIF(D117:K117,"?")=8,"n/a",COUNTIF(D117:K117,"Yes")+0.5*COUNTIF(D117:K117,"Partial"))</f>
        <v>n/a</v>
      </c>
      <c r="M117" s="25" t="n">
        <f aca="false">IFERROR(INDEX('Priority list'!$A$5:$A$200,MATCH(A117,'Priority list'!$B$5:$B$200,0)),IF(C117="Done","Done","-"))</f>
        <v>47</v>
      </c>
    </row>
    <row r="118" customFormat="false" ht="15" hidden="false" customHeight="true" outlineLevel="0" collapsed="false">
      <c r="A118" s="6" t="s">
        <v>284</v>
      </c>
      <c r="B118" s="26" t="s">
        <v>76</v>
      </c>
      <c r="C118" s="26" t="s">
        <v>191</v>
      </c>
      <c r="D118" s="29" t="s">
        <v>175</v>
      </c>
      <c r="E118" s="29" t="s">
        <v>175</v>
      </c>
      <c r="F118" s="29" t="s">
        <v>175</v>
      </c>
      <c r="G118" s="29" t="s">
        <v>175</v>
      </c>
      <c r="H118" s="29" t="s">
        <v>175</v>
      </c>
      <c r="I118" s="29" t="s">
        <v>175</v>
      </c>
      <c r="J118" s="29" t="s">
        <v>175</v>
      </c>
      <c r="K118" s="29" t="s">
        <v>175</v>
      </c>
      <c r="L118" s="24" t="str">
        <f aca="false">IF(COUNTIF(D118:K118,"?")=8,"n/a",COUNTIF(D118:K118,"Yes")+0.5*COUNTIF(D118:K118,"Partial"))</f>
        <v>n/a</v>
      </c>
      <c r="M118" s="25" t="n">
        <f aca="false">IFERROR(INDEX('Priority list'!$A$5:$A$200,MATCH(A118,'Priority list'!$B$5:$B$200,0)),IF(C118="Done","Done","-"))</f>
        <v>36</v>
      </c>
    </row>
    <row r="119" customFormat="false" ht="23.25" hidden="false" customHeight="true" outlineLevel="0" collapsed="false">
      <c r="A119" s="6" t="s">
        <v>285</v>
      </c>
      <c r="B119" s="26" t="s">
        <v>45</v>
      </c>
      <c r="C119" s="26" t="s">
        <v>191</v>
      </c>
      <c r="D119" s="29" t="s">
        <v>175</v>
      </c>
      <c r="E119" s="29" t="s">
        <v>175</v>
      </c>
      <c r="F119" s="29" t="s">
        <v>175</v>
      </c>
      <c r="G119" s="29" t="s">
        <v>175</v>
      </c>
      <c r="H119" s="29" t="s">
        <v>175</v>
      </c>
      <c r="I119" s="29" t="s">
        <v>175</v>
      </c>
      <c r="J119" s="29" t="s">
        <v>175</v>
      </c>
      <c r="K119" s="29" t="s">
        <v>175</v>
      </c>
      <c r="L119" s="24" t="str">
        <f aca="false">IF(COUNTIF(D119:K119,"?")=8,"n/a",COUNTIF(D119:K119,"Yes")+0.5*COUNTIF(D119:K119,"Partial"))</f>
        <v>n/a</v>
      </c>
      <c r="M119" s="25" t="n">
        <f aca="false">IFERROR(INDEX('Priority list'!$A$5:$A$200,MATCH(A119,'Priority list'!$B$5:$B$200,0)),IF(C119="Done","Done","-"))</f>
        <v>44</v>
      </c>
    </row>
    <row r="120" customFormat="false" ht="23.25" hidden="false" customHeight="true" outlineLevel="0" collapsed="false">
      <c r="A120" s="6" t="s">
        <v>286</v>
      </c>
      <c r="B120" s="26" t="s">
        <v>76</v>
      </c>
      <c r="C120" s="26" t="s">
        <v>191</v>
      </c>
      <c r="D120" s="29" t="s">
        <v>175</v>
      </c>
      <c r="E120" s="29" t="s">
        <v>175</v>
      </c>
      <c r="F120" s="29" t="s">
        <v>175</v>
      </c>
      <c r="G120" s="29" t="s">
        <v>175</v>
      </c>
      <c r="H120" s="29" t="s">
        <v>175</v>
      </c>
      <c r="I120" s="29" t="s">
        <v>175</v>
      </c>
      <c r="J120" s="29" t="s">
        <v>175</v>
      </c>
      <c r="K120" s="29" t="s">
        <v>175</v>
      </c>
      <c r="L120" s="24" t="str">
        <f aca="false">IF(COUNTIF(D120:K120,"?")=8,"n/a",COUNTIF(D120:K120,"Yes")+0.5*COUNTIF(D120:K120,"Partial"))</f>
        <v>n/a</v>
      </c>
      <c r="M120" s="25" t="n">
        <f aca="false">IFERROR(INDEX('Priority list'!$A$5:$A$200,MATCH(A120,'Priority list'!$B$5:$B$200,0)),IF(C120="Done","Done","-"))</f>
        <v>48</v>
      </c>
    </row>
    <row r="121" customFormat="false" ht="23.25" hidden="false" customHeight="true" outlineLevel="0" collapsed="false">
      <c r="A121" s="6" t="s">
        <v>287</v>
      </c>
      <c r="B121" s="26" t="s">
        <v>84</v>
      </c>
      <c r="C121" s="26" t="s">
        <v>191</v>
      </c>
      <c r="D121" s="29" t="s">
        <v>175</v>
      </c>
      <c r="E121" s="29" t="s">
        <v>175</v>
      </c>
      <c r="F121" s="29" t="s">
        <v>175</v>
      </c>
      <c r="G121" s="29" t="s">
        <v>175</v>
      </c>
      <c r="H121" s="29" t="s">
        <v>175</v>
      </c>
      <c r="I121" s="29" t="s">
        <v>175</v>
      </c>
      <c r="J121" s="29" t="s">
        <v>175</v>
      </c>
      <c r="K121" s="29" t="s">
        <v>175</v>
      </c>
      <c r="L121" s="24" t="str">
        <f aca="false">IF(COUNTIF(D121:K121,"?")=8,"n/a",COUNTIF(D121:K121,"Yes")+0.5*COUNTIF(D121:K121,"Partial"))</f>
        <v>n/a</v>
      </c>
      <c r="M121" s="25" t="n">
        <f aca="false">IFERROR(INDEX('Priority list'!$A$5:$A$200,MATCH(A121,'Priority list'!$B$5:$B$200,0)),IF(C121="Done","Done","-"))</f>
        <v>72</v>
      </c>
    </row>
    <row r="122" customFormat="false" ht="23.25" hidden="false" customHeight="true" outlineLevel="0" collapsed="false">
      <c r="A122" s="6" t="s">
        <v>288</v>
      </c>
      <c r="B122" s="26" t="s">
        <v>80</v>
      </c>
      <c r="C122" s="26" t="s">
        <v>191</v>
      </c>
      <c r="D122" s="29" t="s">
        <v>175</v>
      </c>
      <c r="E122" s="29" t="s">
        <v>175</v>
      </c>
      <c r="F122" s="29" t="s">
        <v>175</v>
      </c>
      <c r="G122" s="29" t="s">
        <v>175</v>
      </c>
      <c r="H122" s="29" t="s">
        <v>175</v>
      </c>
      <c r="I122" s="29" t="s">
        <v>175</v>
      </c>
      <c r="J122" s="29" t="s">
        <v>175</v>
      </c>
      <c r="K122" s="29" t="s">
        <v>175</v>
      </c>
      <c r="L122" s="24" t="str">
        <f aca="false">IF(COUNTIF(D122:K122,"?")=8,"n/a",COUNTIF(D122:K122,"Yes")+0.5*COUNTIF(D122:K122,"Partial"))</f>
        <v>n/a</v>
      </c>
      <c r="M122" s="25" t="n">
        <f aca="false">IFERROR(INDEX('Priority list'!$A$5:$A$200,MATCH(A122,'Priority list'!$B$5:$B$200,0)),IF(C122="Done","Done","-"))</f>
        <v>73</v>
      </c>
    </row>
    <row r="123" customFormat="false" ht="15" hidden="false" customHeight="true" outlineLevel="0" collapsed="false">
      <c r="A123" s="6" t="s">
        <v>289</v>
      </c>
      <c r="B123" s="26" t="s">
        <v>80</v>
      </c>
      <c r="C123" s="26" t="s">
        <v>191</v>
      </c>
      <c r="D123" s="29" t="s">
        <v>175</v>
      </c>
      <c r="E123" s="29" t="s">
        <v>175</v>
      </c>
      <c r="F123" s="29" t="s">
        <v>175</v>
      </c>
      <c r="G123" s="29" t="s">
        <v>175</v>
      </c>
      <c r="H123" s="29" t="s">
        <v>175</v>
      </c>
      <c r="I123" s="29" t="s">
        <v>175</v>
      </c>
      <c r="J123" s="29" t="s">
        <v>175</v>
      </c>
      <c r="K123" s="29" t="s">
        <v>175</v>
      </c>
      <c r="L123" s="24" t="str">
        <f aca="false">IF(COUNTIF(D123:K123,"?")=8,"n/a",COUNTIF(D123:K123,"Yes")+0.5*COUNTIF(D123:K123,"Partial"))</f>
        <v>n/a</v>
      </c>
      <c r="M123" s="25" t="n">
        <f aca="false">IFERROR(INDEX('Priority list'!$A$5:$A$200,MATCH(A123,'Priority list'!$B$5:$B$200,0)),IF(C123="Done","Done","-"))</f>
        <v>68</v>
      </c>
    </row>
    <row r="124" customFormat="false" ht="15" hidden="false" customHeight="true" outlineLevel="0" collapsed="false">
      <c r="A124" s="6" t="s">
        <v>290</v>
      </c>
      <c r="B124" s="26" t="s">
        <v>85</v>
      </c>
      <c r="C124" s="26" t="s">
        <v>191</v>
      </c>
      <c r="D124" s="29" t="s">
        <v>175</v>
      </c>
      <c r="E124" s="29" t="s">
        <v>175</v>
      </c>
      <c r="F124" s="29" t="s">
        <v>175</v>
      </c>
      <c r="G124" s="29" t="s">
        <v>175</v>
      </c>
      <c r="H124" s="29" t="s">
        <v>175</v>
      </c>
      <c r="I124" s="29" t="s">
        <v>175</v>
      </c>
      <c r="J124" s="29" t="s">
        <v>175</v>
      </c>
      <c r="K124" s="29" t="s">
        <v>175</v>
      </c>
      <c r="L124" s="24" t="str">
        <f aca="false">IF(COUNTIF(D124:K124,"?")=8,"n/a",COUNTIF(D124:K124,"Yes")+0.5*COUNTIF(D124:K124,"Partial"))</f>
        <v>n/a</v>
      </c>
      <c r="M124" s="25" t="n">
        <f aca="false">IFERROR(INDEX('Priority list'!$A$5:$A$200,MATCH(A124,'Priority list'!$B$5:$B$200,0)),IF(C124="Done","Done","-"))</f>
        <v>76</v>
      </c>
    </row>
    <row r="125" customFormat="false" ht="23.25" hidden="false" customHeight="true" outlineLevel="0" collapsed="false">
      <c r="A125" s="6" t="s">
        <v>291</v>
      </c>
      <c r="B125" s="26" t="s">
        <v>82</v>
      </c>
      <c r="C125" s="26" t="s">
        <v>191</v>
      </c>
      <c r="D125" s="29" t="s">
        <v>175</v>
      </c>
      <c r="E125" s="29" t="s">
        <v>175</v>
      </c>
      <c r="F125" s="29" t="s">
        <v>175</v>
      </c>
      <c r="G125" s="29" t="s">
        <v>175</v>
      </c>
      <c r="H125" s="29" t="s">
        <v>175</v>
      </c>
      <c r="I125" s="29" t="s">
        <v>175</v>
      </c>
      <c r="J125" s="29" t="s">
        <v>175</v>
      </c>
      <c r="K125" s="29" t="s">
        <v>175</v>
      </c>
      <c r="L125" s="24" t="str">
        <f aca="false">IF(COUNTIF(D125:K125,"?")=8,"n/a",COUNTIF(D125:K125,"Yes")+0.5*COUNTIF(D125:K125,"Partial"))</f>
        <v>n/a</v>
      </c>
      <c r="M125" s="25" t="n">
        <f aca="false">IFERROR(INDEX('Priority list'!$A$5:$A$200,MATCH(A125,'Priority list'!$B$5:$B$200,0)),IF(C125="Done","Done","-"))</f>
        <v>74</v>
      </c>
    </row>
    <row r="126" customFormat="false" ht="15" hidden="false" customHeight="true" outlineLevel="0" collapsed="false">
      <c r="A126" s="6" t="s">
        <v>292</v>
      </c>
      <c r="B126" s="26" t="s">
        <v>82</v>
      </c>
      <c r="C126" s="26" t="s">
        <v>191</v>
      </c>
      <c r="D126" s="29" t="s">
        <v>175</v>
      </c>
      <c r="E126" s="29" t="s">
        <v>175</v>
      </c>
      <c r="F126" s="29" t="s">
        <v>175</v>
      </c>
      <c r="G126" s="29" t="s">
        <v>175</v>
      </c>
      <c r="H126" s="29" t="s">
        <v>175</v>
      </c>
      <c r="I126" s="29" t="s">
        <v>175</v>
      </c>
      <c r="J126" s="29" t="s">
        <v>175</v>
      </c>
      <c r="K126" s="29" t="s">
        <v>175</v>
      </c>
      <c r="L126" s="24" t="str">
        <f aca="false">IF(COUNTIF(D126:K126,"?")=8,"n/a",COUNTIF(D126:K126,"Yes")+0.5*COUNTIF(D126:K126,"Partial"))</f>
        <v>n/a</v>
      </c>
      <c r="M126" s="25" t="n">
        <f aca="false">IFERROR(INDEX('Priority list'!$A$5:$A$200,MATCH(A126,'Priority list'!$B$5:$B$200,0)),IF(C126="Done","Done","-"))</f>
        <v>70</v>
      </c>
    </row>
    <row r="127" customFormat="false" ht="15" hidden="false" customHeight="true" outlineLevel="0" collapsed="false">
      <c r="A127" s="6" t="s">
        <v>293</v>
      </c>
      <c r="B127" s="26" t="s">
        <v>81</v>
      </c>
      <c r="C127" s="26" t="s">
        <v>12</v>
      </c>
      <c r="D127" s="29" t="s">
        <v>175</v>
      </c>
      <c r="E127" s="29" t="s">
        <v>175</v>
      </c>
      <c r="F127" s="29" t="s">
        <v>175</v>
      </c>
      <c r="G127" s="29" t="s">
        <v>175</v>
      </c>
      <c r="H127" s="29" t="s">
        <v>175</v>
      </c>
      <c r="I127" s="29" t="s">
        <v>175</v>
      </c>
      <c r="J127" s="29" t="s">
        <v>175</v>
      </c>
      <c r="K127" s="29" t="s">
        <v>175</v>
      </c>
      <c r="L127" s="24" t="str">
        <f aca="false">IF(COUNTIF(D127:K127,"?")=8,"n/a",COUNTIF(D127:K127,"Yes")+0.5*COUNTIF(D127:K127,"Partial"))</f>
        <v>n/a</v>
      </c>
      <c r="M127" s="25" t="n">
        <f aca="false">IFERROR(INDEX('Priority list'!$A$5:$A$200,MATCH(A127,'Priority list'!$B$5:$B$200,0)),IF(C127="Done","Done","-"))</f>
        <v>71</v>
      </c>
    </row>
    <row r="128" customFormat="false" ht="15" hidden="false" customHeight="true" outlineLevel="0" collapsed="false">
      <c r="A128" s="6" t="s">
        <v>294</v>
      </c>
      <c r="B128" s="26" t="s">
        <v>81</v>
      </c>
      <c r="C128" s="26" t="s">
        <v>191</v>
      </c>
      <c r="D128" s="29" t="s">
        <v>175</v>
      </c>
      <c r="E128" s="29" t="s">
        <v>175</v>
      </c>
      <c r="F128" s="29" t="s">
        <v>175</v>
      </c>
      <c r="G128" s="29" t="s">
        <v>175</v>
      </c>
      <c r="H128" s="29" t="s">
        <v>175</v>
      </c>
      <c r="I128" s="29" t="s">
        <v>175</v>
      </c>
      <c r="J128" s="29" t="s">
        <v>175</v>
      </c>
      <c r="K128" s="29" t="s">
        <v>175</v>
      </c>
      <c r="L128" s="24" t="str">
        <f aca="false">IF(COUNTIF(D128:K128,"?")=8,"n/a",COUNTIF(D128:K128,"Yes")+0.5*COUNTIF(D128:K128,"Partial"))</f>
        <v>n/a</v>
      </c>
      <c r="M128" s="25" t="n">
        <f aca="false">IFERROR(INDEX('Priority list'!$A$5:$A$200,MATCH(A128,'Priority list'!$B$5:$B$200,0)),IF(C128="Done","Done","-"))</f>
        <v>69</v>
      </c>
    </row>
    <row r="129" customFormat="false" ht="15" hidden="false" customHeight="true" outlineLevel="0" collapsed="false">
      <c r="A129" s="6" t="s">
        <v>295</v>
      </c>
      <c r="B129" s="26" t="s">
        <v>61</v>
      </c>
      <c r="C129" s="26" t="s">
        <v>191</v>
      </c>
      <c r="D129" s="29" t="s">
        <v>175</v>
      </c>
      <c r="E129" s="29" t="s">
        <v>175</v>
      </c>
      <c r="F129" s="29" t="s">
        <v>175</v>
      </c>
      <c r="G129" s="29" t="s">
        <v>175</v>
      </c>
      <c r="H129" s="29" t="s">
        <v>175</v>
      </c>
      <c r="I129" s="29" t="s">
        <v>175</v>
      </c>
      <c r="J129" s="29" t="s">
        <v>175</v>
      </c>
      <c r="K129" s="29" t="s">
        <v>175</v>
      </c>
      <c r="L129" s="24" t="str">
        <f aca="false">IF(COUNTIF(D129:K129,"?")=8,"n/a",COUNTIF(D129:K129,"Yes")+0.5*COUNTIF(D129:K129,"Partial"))</f>
        <v>n/a</v>
      </c>
      <c r="M129" s="25" t="n">
        <f aca="false">IFERROR(INDEX('Priority list'!$A$5:$A$200,MATCH(A129,'Priority list'!$B$5:$B$200,0)),IF(C129="Done","Done","-"))</f>
        <v>80</v>
      </c>
    </row>
    <row r="130" customFormat="false" ht="15" hidden="false" customHeight="true" outlineLevel="0" collapsed="false">
      <c r="A130" s="6" t="s">
        <v>296</v>
      </c>
      <c r="B130" s="26" t="s">
        <v>61</v>
      </c>
      <c r="C130" s="26" t="s">
        <v>191</v>
      </c>
      <c r="D130" s="29" t="s">
        <v>175</v>
      </c>
      <c r="E130" s="29" t="s">
        <v>175</v>
      </c>
      <c r="F130" s="29" t="s">
        <v>175</v>
      </c>
      <c r="G130" s="29" t="s">
        <v>175</v>
      </c>
      <c r="H130" s="29" t="s">
        <v>175</v>
      </c>
      <c r="I130" s="29" t="s">
        <v>175</v>
      </c>
      <c r="J130" s="29" t="s">
        <v>175</v>
      </c>
      <c r="K130" s="29" t="s">
        <v>175</v>
      </c>
      <c r="L130" s="24" t="str">
        <f aca="false">IF(COUNTIF(D130:K130,"?")=8,"n/a",COUNTIF(D130:K130,"Yes")+0.5*COUNTIF(D130:K130,"Partial"))</f>
        <v>n/a</v>
      </c>
      <c r="M130" s="25" t="n">
        <f aca="false">IFERROR(INDEX('Priority list'!$A$5:$A$200,MATCH(A130,'Priority list'!$B$5:$B$200,0)),IF(C130="Done","Done","-"))</f>
        <v>81</v>
      </c>
    </row>
    <row r="131" customFormat="false" ht="15" hidden="false" customHeight="true" outlineLevel="0" collapsed="false">
      <c r="A131" s="6" t="s">
        <v>297</v>
      </c>
      <c r="B131" s="26" t="s">
        <v>61</v>
      </c>
      <c r="C131" s="26" t="s">
        <v>191</v>
      </c>
      <c r="D131" s="29" t="s">
        <v>175</v>
      </c>
      <c r="E131" s="29" t="s">
        <v>175</v>
      </c>
      <c r="F131" s="29" t="s">
        <v>175</v>
      </c>
      <c r="G131" s="29" t="s">
        <v>175</v>
      </c>
      <c r="H131" s="29" t="s">
        <v>175</v>
      </c>
      <c r="I131" s="29" t="s">
        <v>175</v>
      </c>
      <c r="J131" s="29" t="s">
        <v>175</v>
      </c>
      <c r="K131" s="29" t="s">
        <v>175</v>
      </c>
      <c r="L131" s="24" t="str">
        <f aca="false">IF(COUNTIF(D131:K131,"?")=8,"n/a",COUNTIF(D131:K131,"Yes")+0.5*COUNTIF(D131:K131,"Partial"))</f>
        <v>n/a</v>
      </c>
      <c r="M131" s="25" t="n">
        <f aca="false">IFERROR(INDEX('Priority list'!$A$5:$A$200,MATCH(A131,'Priority list'!$B$5:$B$200,0)),IF(C131="Done","Done","-"))</f>
        <v>78</v>
      </c>
    </row>
    <row r="132" customFormat="false" ht="15" hidden="false" customHeight="true" outlineLevel="0" collapsed="false">
      <c r="A132" s="6" t="s">
        <v>298</v>
      </c>
      <c r="B132" s="26" t="s">
        <v>61</v>
      </c>
      <c r="C132" s="26" t="s">
        <v>191</v>
      </c>
      <c r="D132" s="29" t="s">
        <v>175</v>
      </c>
      <c r="E132" s="29" t="s">
        <v>175</v>
      </c>
      <c r="F132" s="29" t="s">
        <v>175</v>
      </c>
      <c r="G132" s="29" t="s">
        <v>175</v>
      </c>
      <c r="H132" s="29" t="s">
        <v>175</v>
      </c>
      <c r="I132" s="29" t="s">
        <v>175</v>
      </c>
      <c r="J132" s="29" t="s">
        <v>175</v>
      </c>
      <c r="K132" s="29" t="s">
        <v>175</v>
      </c>
      <c r="L132" s="24" t="str">
        <f aca="false">IF(COUNTIF(D132:K132,"?")=8,"n/a",COUNTIF(D132:K132,"Yes")+0.5*COUNTIF(D132:K132,"Partial"))</f>
        <v>n/a</v>
      </c>
      <c r="M132" s="25" t="n">
        <f aca="false">IFERROR(INDEX('Priority list'!$A$5:$A$200,MATCH(A132,'Priority list'!$B$5:$B$200,0)),IF(C132="Done","Done","-"))</f>
        <v>79</v>
      </c>
    </row>
    <row r="133" customFormat="false" ht="15" hidden="false" customHeight="true" outlineLevel="0" collapsed="false">
      <c r="A133" s="6" t="s">
        <v>299</v>
      </c>
      <c r="B133" s="26" t="s">
        <v>86</v>
      </c>
      <c r="C133" s="26" t="s">
        <v>191</v>
      </c>
      <c r="D133" s="29" t="s">
        <v>175</v>
      </c>
      <c r="E133" s="29" t="s">
        <v>175</v>
      </c>
      <c r="F133" s="29" t="s">
        <v>175</v>
      </c>
      <c r="G133" s="29" t="s">
        <v>175</v>
      </c>
      <c r="H133" s="29" t="s">
        <v>175</v>
      </c>
      <c r="I133" s="29" t="s">
        <v>175</v>
      </c>
      <c r="J133" s="29" t="s">
        <v>175</v>
      </c>
      <c r="K133" s="29" t="s">
        <v>175</v>
      </c>
      <c r="L133" s="24" t="str">
        <f aca="false">IF(COUNTIF(D133:K133,"?")=8,"n/a",COUNTIF(D133:K133,"Yes")+0.5*COUNTIF(D133:K133,"Partial"))</f>
        <v>n/a</v>
      </c>
      <c r="M133" s="25" t="n">
        <f aca="false">IFERROR(INDEX('Priority list'!$A$5:$A$200,MATCH(A133,'Priority list'!$B$5:$B$200,0)),IF(C133="Done","Done","-"))</f>
        <v>83</v>
      </c>
    </row>
  </sheetData>
  <autoFilter ref="A4:M13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G:G A1"/>
    </sheetView>
  </sheetViews>
  <sheetFormatPr defaultColWidth="8.68359375" defaultRowHeight="15" zeroHeight="false" outlineLevelRow="0" outlineLevelCol="0"/>
  <cols>
    <col collapsed="false" customWidth="true" hidden="false" outlineLevel="0" max="1" min="1" style="1" width="34"/>
    <col collapsed="false" customWidth="true" hidden="false" outlineLevel="0" max="6" min="2" style="1" width="16"/>
    <col collapsed="false" customWidth="true" hidden="false" outlineLevel="0" max="7" min="7" style="1" width="24"/>
  </cols>
  <sheetData>
    <row r="1" customFormat="false" ht="15" hidden="false" customHeight="true" outlineLevel="0" collapsed="false">
      <c r="A1" s="31" t="s">
        <v>300</v>
      </c>
    </row>
    <row r="3" customFormat="false" ht="23.25" hidden="false" customHeight="true" outlineLevel="0" collapsed="false">
      <c r="A3" s="32" t="s">
        <v>301</v>
      </c>
      <c r="B3" s="32" t="s">
        <v>302</v>
      </c>
      <c r="C3" s="32" t="s">
        <v>31</v>
      </c>
      <c r="D3" s="32" t="s">
        <v>191</v>
      </c>
      <c r="E3" s="32" t="s">
        <v>303</v>
      </c>
      <c r="F3" s="32" t="s">
        <v>304</v>
      </c>
      <c r="G3" s="32" t="s">
        <v>305</v>
      </c>
    </row>
    <row r="4" customFormat="false" ht="15" hidden="false" customHeight="true" outlineLevel="0" collapsed="false">
      <c r="A4" s="33" t="s">
        <v>306</v>
      </c>
      <c r="B4" s="33" t="n">
        <f aca="false">COUNTIF(Matrix!C8:C77,"Done")+COUNTIF(Matrix!C8:C77,"Yes")</f>
        <v>34</v>
      </c>
      <c r="C4" s="33" t="n">
        <f aca="false">COUNTIF(Matrix!C8:C77,"Partial")</f>
        <v>10</v>
      </c>
      <c r="D4" s="33" t="n">
        <f aca="false">COUNTIF(Matrix!C8:C77,"Planned")</f>
        <v>15</v>
      </c>
      <c r="E4" s="33" t="n">
        <f aca="false">COUNTIF(Matrix!C8:C77,"No")+COUNTIF(Matrix!C8:C77,"Not planned")</f>
        <v>3</v>
      </c>
      <c r="F4" s="33" t="n">
        <f aca="false">COUNTIF(Matrix!C8:C77,"?")</f>
        <v>0</v>
      </c>
      <c r="G4" s="34" t="n">
        <f aca="false">IFERROR((B4+0.5*C4)/(B4+C4+D4+E4),0)</f>
        <v>0.629032258064516</v>
      </c>
    </row>
    <row r="5" customFormat="false" ht="15" hidden="false" customHeight="true" outlineLevel="0" collapsed="false">
      <c r="A5" s="33" t="s">
        <v>140</v>
      </c>
      <c r="B5" s="33" t="n">
        <f aca="false">COUNTIF(Matrix!D8:D77,"Done")+COUNTIF(Matrix!D8:D77,"Yes")</f>
        <v>32</v>
      </c>
      <c r="C5" s="33" t="n">
        <f aca="false">COUNTIF(Matrix!D8:D77,"Partial")</f>
        <v>13</v>
      </c>
      <c r="D5" s="33" t="n">
        <f aca="false">COUNTIF(Matrix!D8:D77,"Planned")</f>
        <v>0</v>
      </c>
      <c r="E5" s="33" t="n">
        <f aca="false">COUNTIF(Matrix!D8:D77,"No")+COUNTIF(Matrix!D8:D77,"Not planned")</f>
        <v>16</v>
      </c>
      <c r="F5" s="33" t="n">
        <f aca="false">COUNTIF(Matrix!D8:D77,"?")</f>
        <v>1</v>
      </c>
      <c r="G5" s="34" t="n">
        <f aca="false">IFERROR((B5+0.5*C5)/(B5+C5+D5+E5),0)</f>
        <v>0.631147540983607</v>
      </c>
    </row>
    <row r="6" customFormat="false" ht="15" hidden="false" customHeight="true" outlineLevel="0" collapsed="false">
      <c r="A6" s="33" t="s">
        <v>141</v>
      </c>
      <c r="B6" s="33" t="n">
        <f aca="false">COUNTIF(Matrix!E8:E77,"Done")+COUNTIF(Matrix!E8:E77,"Yes")</f>
        <v>28</v>
      </c>
      <c r="C6" s="33" t="n">
        <f aca="false">COUNTIF(Matrix!E8:E77,"Partial")</f>
        <v>6</v>
      </c>
      <c r="D6" s="33" t="n">
        <f aca="false">COUNTIF(Matrix!E8:E77,"Planned")</f>
        <v>0</v>
      </c>
      <c r="E6" s="33" t="n">
        <f aca="false">COUNTIF(Matrix!E8:E77,"No")+COUNTIF(Matrix!E8:E77,"Not planned")</f>
        <v>18</v>
      </c>
      <c r="F6" s="33" t="n">
        <f aca="false">COUNTIF(Matrix!E8:E77,"?")</f>
        <v>10</v>
      </c>
      <c r="G6" s="34" t="n">
        <f aca="false">IFERROR((B6+0.5*C6)/(B6+C6+D6+E6),0)</f>
        <v>0.596153846153846</v>
      </c>
    </row>
    <row r="7" customFormat="false" ht="15" hidden="false" customHeight="true" outlineLevel="0" collapsed="false">
      <c r="A7" s="33" t="s">
        <v>142</v>
      </c>
      <c r="B7" s="33" t="n">
        <f aca="false">COUNTIF(Matrix!F8:F77,"Done")+COUNTIF(Matrix!F8:F77,"Yes")</f>
        <v>4</v>
      </c>
      <c r="C7" s="33" t="n">
        <f aca="false">COUNTIF(Matrix!F8:F77,"Partial")</f>
        <v>8</v>
      </c>
      <c r="D7" s="33" t="n">
        <f aca="false">COUNTIF(Matrix!F8:F77,"Planned")</f>
        <v>0</v>
      </c>
      <c r="E7" s="33" t="n">
        <f aca="false">COUNTIF(Matrix!F8:F77,"No")+COUNTIF(Matrix!F8:F77,"Not planned")</f>
        <v>38</v>
      </c>
      <c r="F7" s="33" t="n">
        <f aca="false">COUNTIF(Matrix!F8:F77,"?")</f>
        <v>12</v>
      </c>
      <c r="G7" s="34" t="n">
        <f aca="false">IFERROR((B7+0.5*C7)/(B7+C7+D7+E7),0)</f>
        <v>0.16</v>
      </c>
    </row>
    <row r="8" customFormat="false" ht="15" hidden="false" customHeight="true" outlineLevel="0" collapsed="false">
      <c r="A8" s="33" t="s">
        <v>143</v>
      </c>
      <c r="B8" s="33" t="n">
        <f aca="false">COUNTIF(Matrix!G8:G77,"Done")+COUNTIF(Matrix!G8:G77,"Yes")</f>
        <v>19</v>
      </c>
      <c r="C8" s="33" t="n">
        <f aca="false">COUNTIF(Matrix!G8:G77,"Partial")</f>
        <v>7</v>
      </c>
      <c r="D8" s="33" t="n">
        <f aca="false">COUNTIF(Matrix!G8:G77,"Planned")</f>
        <v>0</v>
      </c>
      <c r="E8" s="33" t="n">
        <f aca="false">COUNTIF(Matrix!G8:G77,"No")+COUNTIF(Matrix!G8:G77,"Not planned")</f>
        <v>35</v>
      </c>
      <c r="F8" s="33" t="n">
        <f aca="false">COUNTIF(Matrix!G8:G77,"?")</f>
        <v>1</v>
      </c>
      <c r="G8" s="34" t="n">
        <f aca="false">IFERROR((B8+0.5*C8)/(B8+C8+D8+E8),0)</f>
        <v>0.368852459016393</v>
      </c>
    </row>
    <row r="9" customFormat="false" ht="15" hidden="false" customHeight="true" outlineLevel="0" collapsed="false">
      <c r="A9" s="33" t="s">
        <v>144</v>
      </c>
      <c r="B9" s="33" t="n">
        <f aca="false">COUNTIF(Matrix!H8:H77,"Done")+COUNTIF(Matrix!H8:H77,"Yes")</f>
        <v>42</v>
      </c>
      <c r="C9" s="33" t="n">
        <f aca="false">COUNTIF(Matrix!H8:H77,"Partial")</f>
        <v>5</v>
      </c>
      <c r="D9" s="33" t="n">
        <f aca="false">COUNTIF(Matrix!H8:H77,"Planned")</f>
        <v>0</v>
      </c>
      <c r="E9" s="33" t="n">
        <f aca="false">COUNTIF(Matrix!H8:H77,"No")+COUNTIF(Matrix!H8:H77,"Not planned")</f>
        <v>14</v>
      </c>
      <c r="F9" s="33" t="n">
        <f aca="false">COUNTIF(Matrix!H8:H77,"?")</f>
        <v>1</v>
      </c>
      <c r="G9" s="34" t="n">
        <f aca="false">IFERROR((B9+0.5*C9)/(B9+C9+D9+E9),0)</f>
        <v>0.729508196721312</v>
      </c>
    </row>
    <row r="10" customFormat="false" ht="15" hidden="false" customHeight="true" outlineLevel="0" collapsed="false">
      <c r="A10" s="33" t="s">
        <v>145</v>
      </c>
      <c r="B10" s="33" t="n">
        <f aca="false">COUNTIF(Matrix!I8:I77,"Done")+COUNTIF(Matrix!I8:I77,"Yes")</f>
        <v>44</v>
      </c>
      <c r="C10" s="33" t="n">
        <f aca="false">COUNTIF(Matrix!I8:I77,"Partial")</f>
        <v>4</v>
      </c>
      <c r="D10" s="33" t="n">
        <f aca="false">COUNTIF(Matrix!I8:I77,"Planned")</f>
        <v>0</v>
      </c>
      <c r="E10" s="33" t="n">
        <f aca="false">COUNTIF(Matrix!I8:I77,"No")+COUNTIF(Matrix!I8:I77,"Not planned")</f>
        <v>10</v>
      </c>
      <c r="F10" s="33" t="n">
        <f aca="false">COUNTIF(Matrix!I8:I77,"?")</f>
        <v>4</v>
      </c>
      <c r="G10" s="34" t="n">
        <f aca="false">IFERROR((B10+0.5*C10)/(B10+C10+D10+E10),0)</f>
        <v>0.793103448275862</v>
      </c>
    </row>
    <row r="11" customFormat="false" ht="15" hidden="false" customHeight="true" outlineLevel="0" collapsed="false">
      <c r="A11" s="33" t="s">
        <v>146</v>
      </c>
      <c r="B11" s="33" t="n">
        <f aca="false">COUNTIF(Matrix!J8:J77,"Done")+COUNTIF(Matrix!J8:J77,"Yes")</f>
        <v>47</v>
      </c>
      <c r="C11" s="33" t="n">
        <f aca="false">COUNTIF(Matrix!J8:J77,"Partial")</f>
        <v>3</v>
      </c>
      <c r="D11" s="33" t="n">
        <f aca="false">COUNTIF(Matrix!J8:J77,"Planned")</f>
        <v>0</v>
      </c>
      <c r="E11" s="33" t="n">
        <f aca="false">COUNTIF(Matrix!J8:J77,"No")+COUNTIF(Matrix!J8:J77,"Not planned")</f>
        <v>9</v>
      </c>
      <c r="F11" s="33" t="n">
        <f aca="false">COUNTIF(Matrix!J8:J77,"?")</f>
        <v>3</v>
      </c>
      <c r="G11" s="34" t="n">
        <f aca="false">IFERROR((B11+0.5*C11)/(B11+C11+D11+E11),0)</f>
        <v>0.822033898305085</v>
      </c>
    </row>
    <row r="12" customFormat="false" ht="15" hidden="false" customHeight="true" outlineLevel="0" collapsed="false">
      <c r="A12" s="33" t="s">
        <v>147</v>
      </c>
      <c r="B12" s="33" t="n">
        <f aca="false">COUNTIF(Matrix!K8:K77,"Done")+COUNTIF(Matrix!K8:K77,"Yes")</f>
        <v>41</v>
      </c>
      <c r="C12" s="33" t="n">
        <f aca="false">COUNTIF(Matrix!K8:K77,"Partial")</f>
        <v>2</v>
      </c>
      <c r="D12" s="33" t="n">
        <f aca="false">COUNTIF(Matrix!K8:K77,"Planned")</f>
        <v>0</v>
      </c>
      <c r="E12" s="33" t="n">
        <f aca="false">COUNTIF(Matrix!K8:K77,"No")+COUNTIF(Matrix!K8:K77,"Not planned")</f>
        <v>15</v>
      </c>
      <c r="F12" s="33" t="n">
        <f aca="false">COUNTIF(Matrix!K8:K77,"?")</f>
        <v>4</v>
      </c>
      <c r="G12" s="34" t="n">
        <f aca="false">IFERROR((B12+0.5*C12)/(B12+C12+D12+E12),0)</f>
        <v>0.724137931034483</v>
      </c>
    </row>
    <row r="15" customFormat="false" ht="15" hidden="false" customHeight="true" outlineLevel="0" collapsed="false">
      <c r="A15" s="35" t="s">
        <v>307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1" sqref="G:G A1"/>
    </sheetView>
  </sheetViews>
  <sheetFormatPr defaultColWidth="8.68359375" defaultRowHeight="15" zeroHeight="false" outlineLevelRow="0" outlineLevelCol="0"/>
  <cols>
    <col collapsed="false" customWidth="true" hidden="false" outlineLevel="0" max="1" min="1" style="1" width="28"/>
    <col collapsed="false" customWidth="true" hidden="false" outlineLevel="0" max="2" min="2" style="1" width="48"/>
    <col collapsed="false" customWidth="true" hidden="false" outlineLevel="0" max="3" min="3" style="1" width="26"/>
    <col collapsed="false" customWidth="true" hidden="false" outlineLevel="0" max="4" min="4" style="1" width="70"/>
    <col collapsed="false" customWidth="true" hidden="false" outlineLevel="0" max="5" min="5" style="1" width="26"/>
  </cols>
  <sheetData>
    <row r="1" customFormat="false" ht="15" hidden="false" customHeight="true" outlineLevel="0" collapsed="false">
      <c r="A1" s="31" t="s">
        <v>308</v>
      </c>
    </row>
    <row r="3" customFormat="false" ht="15" hidden="false" customHeight="true" outlineLevel="0" collapsed="false">
      <c r="A3" s="36" t="s">
        <v>301</v>
      </c>
      <c r="B3" s="36" t="s">
        <v>309</v>
      </c>
      <c r="C3" s="36" t="s">
        <v>310</v>
      </c>
      <c r="D3" s="36" t="s">
        <v>311</v>
      </c>
      <c r="E3" s="36" t="s">
        <v>312</v>
      </c>
    </row>
    <row r="4" customFormat="false" ht="15" hidden="false" customHeight="true" outlineLevel="0" collapsed="false">
      <c r="A4" s="37" t="s">
        <v>306</v>
      </c>
      <c r="B4" s="37" t="s">
        <v>313</v>
      </c>
      <c r="C4" s="37" t="s">
        <v>314</v>
      </c>
      <c r="D4" s="37" t="s">
        <v>315</v>
      </c>
      <c r="E4" s="37" t="s">
        <v>316</v>
      </c>
    </row>
    <row r="5" customFormat="false" ht="15" hidden="false" customHeight="true" outlineLevel="0" collapsed="false">
      <c r="A5" s="37" t="s">
        <v>140</v>
      </c>
      <c r="B5" s="37" t="s">
        <v>313</v>
      </c>
      <c r="C5" s="37" t="s">
        <v>317</v>
      </c>
      <c r="D5" s="37" t="s">
        <v>318</v>
      </c>
      <c r="E5" s="37" t="s">
        <v>316</v>
      </c>
    </row>
    <row r="6" customFormat="false" ht="15" hidden="false" customHeight="true" outlineLevel="0" collapsed="false">
      <c r="A6" s="37" t="s">
        <v>319</v>
      </c>
      <c r="B6" s="37" t="s">
        <v>313</v>
      </c>
      <c r="C6" s="37" t="s">
        <v>320</v>
      </c>
      <c r="D6" s="37" t="s">
        <v>321</v>
      </c>
      <c r="E6" s="37" t="s">
        <v>322</v>
      </c>
    </row>
    <row r="7" customFormat="false" ht="15" hidden="false" customHeight="true" outlineLevel="0" collapsed="false">
      <c r="A7" s="37" t="s">
        <v>323</v>
      </c>
      <c r="B7" s="37" t="s">
        <v>313</v>
      </c>
      <c r="C7" s="37" t="s">
        <v>324</v>
      </c>
      <c r="D7" s="37" t="s">
        <v>318</v>
      </c>
      <c r="E7" s="37" t="s">
        <v>322</v>
      </c>
    </row>
    <row r="8" customFormat="false" ht="23.25" hidden="false" customHeight="true" outlineLevel="0" collapsed="false">
      <c r="A8" s="37" t="s">
        <v>141</v>
      </c>
      <c r="B8" s="37" t="s">
        <v>325</v>
      </c>
      <c r="C8" s="37" t="s">
        <v>326</v>
      </c>
      <c r="D8" s="37" t="s">
        <v>327</v>
      </c>
      <c r="E8" s="37" t="s">
        <v>328</v>
      </c>
    </row>
    <row r="9" customFormat="false" ht="23.25" hidden="false" customHeight="true" outlineLevel="0" collapsed="false">
      <c r="A9" s="37" t="s">
        <v>142</v>
      </c>
      <c r="B9" s="37" t="s">
        <v>329</v>
      </c>
      <c r="C9" s="37" t="s">
        <v>330</v>
      </c>
      <c r="D9" s="37" t="s">
        <v>331</v>
      </c>
      <c r="E9" s="37" t="s">
        <v>328</v>
      </c>
    </row>
    <row r="10" customFormat="false" ht="15" hidden="false" customHeight="true" outlineLevel="0" collapsed="false">
      <c r="A10" s="37" t="s">
        <v>144</v>
      </c>
      <c r="B10" s="37" t="s">
        <v>332</v>
      </c>
      <c r="C10" s="37" t="s">
        <v>330</v>
      </c>
      <c r="D10" s="37" t="s">
        <v>333</v>
      </c>
      <c r="E10" s="37" t="s">
        <v>334</v>
      </c>
    </row>
    <row r="11" customFormat="false" ht="15" hidden="false" customHeight="true" outlineLevel="0" collapsed="false">
      <c r="A11" s="37" t="s">
        <v>335</v>
      </c>
      <c r="B11" s="37" t="s">
        <v>336</v>
      </c>
      <c r="C11" s="37" t="s">
        <v>337</v>
      </c>
      <c r="D11" s="37" t="s">
        <v>338</v>
      </c>
      <c r="E11" s="37" t="s">
        <v>339</v>
      </c>
    </row>
    <row r="12" customFormat="false" ht="23.25" hidden="false" customHeight="true" outlineLevel="0" collapsed="false">
      <c r="A12" s="37" t="s">
        <v>147</v>
      </c>
      <c r="B12" s="37" t="s">
        <v>340</v>
      </c>
      <c r="C12" s="37" t="s">
        <v>341</v>
      </c>
      <c r="D12" s="37" t="s">
        <v>342</v>
      </c>
      <c r="E12" s="37" t="s">
        <v>343</v>
      </c>
    </row>
    <row r="13" customFormat="false" ht="23.25" hidden="false" customHeight="true" outlineLevel="0" collapsed="false"/>
    <row r="14" customFormat="false" ht="34.5" hidden="false" customHeight="true" outlineLevel="0" collapsed="false"/>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2026-10-15T20:36:41Z</dcterms:created>
  <dc:creator>openpyxl</dc:creator>
  <dc:description/>
  <dc:language>en-US</dc:language>
  <cp:lastModifiedBy/>
  <dcterms:modified xsi:type="dcterms:W3CDTF">2026-10-22T13:53:21Z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